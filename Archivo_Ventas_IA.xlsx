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_Díaz\Downloads\"/>
    </mc:Choice>
  </mc:AlternateContent>
  <xr:revisionPtr revIDLastSave="0" documentId="13_ncr:1_{71A1D8A1-A4F5-4D6F-B993-2B50EDFC9D80}" xr6:coauthVersionLast="47" xr6:coauthVersionMax="47" xr10:uidLastSave="{00000000-0000-0000-0000-000000000000}"/>
  <bookViews>
    <workbookView xWindow="-108" yWindow="-108" windowWidth="23256" windowHeight="12456" xr2:uid="{19F58E0F-A8B1-4F61-BA71-AFE08972842B}"/>
  </bookViews>
  <sheets>
    <sheet name="Datos" sheetId="1" r:id="rId1"/>
    <sheet name="Tabla Dinámica.- Gráficos" sheetId="2" r:id="rId2"/>
    <sheet name="Previsión de Total venta" sheetId="12" r:id="rId3"/>
  </sheets>
  <calcPr calcId="191029"/>
  <pivotCaches>
    <pivotCache cacheId="7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1" l="1"/>
  <c r="K7" i="1"/>
  <c r="K4" i="1"/>
  <c r="K10" i="1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E52" i="12" l="1"/>
  <c r="D52" i="12"/>
  <c r="E53" i="12"/>
  <c r="D53" i="12"/>
  <c r="D54" i="12"/>
  <c r="E54" i="12"/>
  <c r="D55" i="12"/>
  <c r="E55" i="12"/>
  <c r="E56" i="12"/>
  <c r="D56" i="12"/>
  <c r="E57" i="12"/>
  <c r="D57" i="12"/>
  <c r="D58" i="12"/>
  <c r="E58" i="12"/>
  <c r="E59" i="12"/>
  <c r="D59" i="12"/>
  <c r="D60" i="12"/>
  <c r="E60" i="12"/>
  <c r="E61" i="12"/>
  <c r="D61" i="12"/>
  <c r="D62" i="12"/>
  <c r="E62" i="12"/>
  <c r="E63" i="12"/>
  <c r="D63" i="12"/>
  <c r="D64" i="12"/>
  <c r="E64" i="12"/>
  <c r="E65" i="12"/>
  <c r="D65" i="12"/>
  <c r="D66" i="12"/>
  <c r="E66" i="12"/>
  <c r="D67" i="12"/>
  <c r="E67" i="12"/>
  <c r="E68" i="12"/>
  <c r="D68" i="12"/>
  <c r="E69" i="12"/>
  <c r="D69" i="12"/>
  <c r="D70" i="12"/>
  <c r="E70" i="12"/>
  <c r="E71" i="12"/>
  <c r="D71" i="12"/>
  <c r="E72" i="12"/>
  <c r="D72" i="12"/>
  <c r="D73" i="12"/>
  <c r="E73" i="12"/>
  <c r="E74" i="12"/>
  <c r="D74" i="12"/>
  <c r="D75" i="12"/>
  <c r="E75" i="12"/>
  <c r="D76" i="12"/>
  <c r="E76" i="12"/>
  <c r="E77" i="12"/>
  <c r="D77" i="12"/>
  <c r="E78" i="12"/>
  <c r="D78" i="12"/>
  <c r="D79" i="12"/>
  <c r="E79" i="12"/>
</calcChain>
</file>

<file path=xl/sharedStrings.xml><?xml version="1.0" encoding="utf-8"?>
<sst xmlns="http://schemas.openxmlformats.org/spreadsheetml/2006/main" count="205" uniqueCount="36">
  <si>
    <t>Fecha</t>
  </si>
  <si>
    <t>Vendedor</t>
  </si>
  <si>
    <t>Producto</t>
  </si>
  <si>
    <t>Cantidad</t>
  </si>
  <si>
    <t>Precio Unitario</t>
  </si>
  <si>
    <t>Total Venta</t>
  </si>
  <si>
    <t>Ventas totales Carlos</t>
  </si>
  <si>
    <t>Total ventas Enero del presente año</t>
  </si>
  <si>
    <t xml:space="preserve"> Carlos </t>
  </si>
  <si>
    <t xml:space="preserve"> Cemento </t>
  </si>
  <si>
    <t xml:space="preserve"> Bogotá</t>
  </si>
  <si>
    <t xml:space="preserve"> Ana </t>
  </si>
  <si>
    <t xml:space="preserve"> Varilla </t>
  </si>
  <si>
    <t xml:space="preserve"> Medellín</t>
  </si>
  <si>
    <t xml:space="preserve"> Luis </t>
  </si>
  <si>
    <t xml:space="preserve"> Arena </t>
  </si>
  <si>
    <t xml:space="preserve"> Cali</t>
  </si>
  <si>
    <t xml:space="preserve"> Marta </t>
  </si>
  <si>
    <t xml:space="preserve"> Grava </t>
  </si>
  <si>
    <t xml:space="preserve"> Bucaramanga</t>
  </si>
  <si>
    <t xml:space="preserve"> Pedro </t>
  </si>
  <si>
    <t xml:space="preserve"> Barranquilla</t>
  </si>
  <si>
    <t>Sede</t>
  </si>
  <si>
    <t>Promedio de ventas</t>
  </si>
  <si>
    <t>Ventas superiores a $1.500.000</t>
  </si>
  <si>
    <t>Ventas de Carlos en Bogotá</t>
  </si>
  <si>
    <t>Honda</t>
  </si>
  <si>
    <t>Promedio de Cantidad</t>
  </si>
  <si>
    <t>Total general</t>
  </si>
  <si>
    <t xml:space="preserve">Total  Arena </t>
  </si>
  <si>
    <t xml:space="preserve">Total  Grava </t>
  </si>
  <si>
    <t xml:space="preserve">Total  Cemento </t>
  </si>
  <si>
    <t xml:space="preserve">Total  Varilla </t>
  </si>
  <si>
    <t>Previsión(Total Venta)</t>
  </si>
  <si>
    <t>Límite de confianza inferior(Total Venta)</t>
  </si>
  <si>
    <t>Límite de confianza superior(Total Venta)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</si>
</sst>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&quot;$&quot;\ #,##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65" formatCode="&quot;$&quot;\ #,##0"/>
    </dxf>
    <dxf>
      <numFmt numFmtId="165" formatCode="&quot;$&quot;\ #,##0"/>
    </dxf>
    <dxf>
      <numFmt numFmtId="165" formatCode="&quot;$&quot;\ #,##0"/>
    </dxf>
    <dxf>
      <numFmt numFmtId="19" formatCode="d/mm/yyyy"/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"Cantidad" por "Vendedor" y "Ventas superiores a $1.500.000"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Venta Alta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 Ana </c:v>
              </c:pt>
              <c:pt idx="1">
                <c:v> Carlos </c:v>
              </c:pt>
              <c:pt idx="2">
                <c:v> Luis </c:v>
              </c:pt>
              <c:pt idx="3">
                <c:v> Marta </c:v>
              </c:pt>
              <c:pt idx="4">
                <c:v> Pedro </c:v>
              </c:pt>
            </c:strLit>
          </c:cat>
          <c:val>
            <c:numLit>
              <c:formatCode>General</c:formatCode>
              <c:ptCount val="5"/>
              <c:pt idx="0">
                <c:v>94</c:v>
              </c:pt>
              <c:pt idx="1">
                <c:v>77.5</c:v>
              </c:pt>
              <c:pt idx="2">
                <c:v>88.666666666666671</c:v>
              </c:pt>
              <c:pt idx="3">
                <c:v>97.4</c:v>
              </c:pt>
              <c:pt idx="4">
                <c:v>86</c:v>
              </c:pt>
            </c:numLit>
          </c:val>
          <c:extLst>
            <c:ext xmlns:c16="http://schemas.microsoft.com/office/drawing/2014/chart" uri="{C3380CC4-5D6E-409C-BE32-E72D297353CC}">
              <c16:uniqueId val="{00000000-EE54-4CE6-913F-C35566A1FF83}"/>
            </c:ext>
          </c:extLst>
        </c:ser>
        <c:ser>
          <c:idx val="1"/>
          <c:order val="1"/>
          <c:tx>
            <c:v>Venta 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 Ana </c:v>
              </c:pt>
              <c:pt idx="1">
                <c:v> Carlos </c:v>
              </c:pt>
              <c:pt idx="2">
                <c:v> Luis </c:v>
              </c:pt>
              <c:pt idx="3">
                <c:v> Marta </c:v>
              </c:pt>
              <c:pt idx="4">
                <c:v> Pedro </c:v>
              </c:pt>
            </c:strLit>
          </c:cat>
          <c:val>
            <c:numLit>
              <c:formatCode>General</c:formatCode>
              <c:ptCount val="5"/>
              <c:pt idx="0">
                <c:v>39.6</c:v>
              </c:pt>
              <c:pt idx="1">
                <c:v>48</c:v>
              </c:pt>
              <c:pt idx="2">
                <c:v>55.714285714285715</c:v>
              </c:pt>
              <c:pt idx="3">
                <c:v>43.4</c:v>
              </c:pt>
              <c:pt idx="4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1-EE54-4CE6-913F-C35566A1F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695357632"/>
        <c:axId val="1695356192"/>
      </c:barChart>
      <c:catAx>
        <c:axId val="169535763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Vendedor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56192"/>
        <c:crosses val="autoZero"/>
        <c:auto val="1"/>
        <c:lblAlgn val="ctr"/>
        <c:lblOffset val="100"/>
        <c:noMultiLvlLbl val="0"/>
      </c:catAx>
      <c:valAx>
        <c:axId val="169535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5763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Total Venta</a:t>
            </a:r>
            <a:r>
              <a:rPr lang="en-US"/>
              <a:t> aumenta con el tiempo.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49"/>
              <c:pt idx="0">
                <c:v>2/01/2026</c:v>
              </c:pt>
              <c:pt idx="1">
                <c:v>3/01/2026</c:v>
              </c:pt>
              <c:pt idx="2">
                <c:v>4/01/2026</c:v>
              </c:pt>
              <c:pt idx="3">
                <c:v>5/01/2026</c:v>
              </c:pt>
              <c:pt idx="4">
                <c:v>6/01/2026</c:v>
              </c:pt>
              <c:pt idx="5">
                <c:v>7/01/2026</c:v>
              </c:pt>
              <c:pt idx="6">
                <c:v>8/01/2026</c:v>
              </c:pt>
              <c:pt idx="7">
                <c:v>9/01/2026</c:v>
              </c:pt>
              <c:pt idx="8">
                <c:v>10/01/2026</c:v>
              </c:pt>
              <c:pt idx="9">
                <c:v>11/01/2026</c:v>
              </c:pt>
              <c:pt idx="10">
                <c:v>12/01/2026</c:v>
              </c:pt>
              <c:pt idx="11">
                <c:v>13/01/2026</c:v>
              </c:pt>
              <c:pt idx="12">
                <c:v>14/01/2026</c:v>
              </c:pt>
              <c:pt idx="13">
                <c:v>15/01/2026</c:v>
              </c:pt>
              <c:pt idx="14">
                <c:v>16/01/2026</c:v>
              </c:pt>
              <c:pt idx="15">
                <c:v>17/01/2026</c:v>
              </c:pt>
              <c:pt idx="16">
                <c:v>18/01/2026</c:v>
              </c:pt>
              <c:pt idx="17">
                <c:v>19/01/2026</c:v>
              </c:pt>
              <c:pt idx="18">
                <c:v>20/01/2026</c:v>
              </c:pt>
              <c:pt idx="19">
                <c:v>21/01/2026</c:v>
              </c:pt>
              <c:pt idx="20">
                <c:v>22/01/2026</c:v>
              </c:pt>
              <c:pt idx="21">
                <c:v>23/01/2026</c:v>
              </c:pt>
              <c:pt idx="22">
                <c:v>24/01/2026</c:v>
              </c:pt>
              <c:pt idx="23">
                <c:v>25/01/2026</c:v>
              </c:pt>
              <c:pt idx="24">
                <c:v>26/01/2026</c:v>
              </c:pt>
              <c:pt idx="25">
                <c:v>27/01/2026</c:v>
              </c:pt>
              <c:pt idx="26">
                <c:v>28/01/2026</c:v>
              </c:pt>
              <c:pt idx="27">
                <c:v>29/01/2026</c:v>
              </c:pt>
              <c:pt idx="28">
                <c:v>30/01/2026</c:v>
              </c:pt>
              <c:pt idx="29">
                <c:v>1/02/2026</c:v>
              </c:pt>
              <c:pt idx="30">
                <c:v>2/02/2026</c:v>
              </c:pt>
              <c:pt idx="31">
                <c:v>3/02/2026</c:v>
              </c:pt>
              <c:pt idx="32">
                <c:v>4/02/2026</c:v>
              </c:pt>
              <c:pt idx="33">
                <c:v>5/02/2026</c:v>
              </c:pt>
              <c:pt idx="34">
                <c:v>6/02/2026</c:v>
              </c:pt>
              <c:pt idx="35">
                <c:v>7/02/2026</c:v>
              </c:pt>
              <c:pt idx="36">
                <c:v>8/02/2026</c:v>
              </c:pt>
              <c:pt idx="37">
                <c:v>9/02/2026</c:v>
              </c:pt>
              <c:pt idx="38">
                <c:v>10/02/2026</c:v>
              </c:pt>
              <c:pt idx="39">
                <c:v>11/02/2026</c:v>
              </c:pt>
              <c:pt idx="40">
                <c:v>12/02/2026</c:v>
              </c:pt>
              <c:pt idx="41">
                <c:v>13/02/2026</c:v>
              </c:pt>
              <c:pt idx="42">
                <c:v>14/02/2026</c:v>
              </c:pt>
              <c:pt idx="43">
                <c:v>15/02/2026</c:v>
              </c:pt>
              <c:pt idx="44">
                <c:v>16/02/2026</c:v>
              </c:pt>
              <c:pt idx="45">
                <c:v>17/02/2026</c:v>
              </c:pt>
              <c:pt idx="46">
                <c:v>18/02/2026</c:v>
              </c:pt>
              <c:pt idx="47">
                <c:v>19/02/2026</c:v>
              </c:pt>
              <c:pt idx="48">
                <c:v>20/02/2026</c:v>
              </c:pt>
            </c:strLit>
          </c:cat>
          <c:val>
            <c:numLit>
              <c:formatCode>General</c:formatCode>
              <c:ptCount val="49"/>
              <c:pt idx="0">
                <c:v>1120000</c:v>
              </c:pt>
              <c:pt idx="1">
                <c:v>875000</c:v>
              </c:pt>
              <c:pt idx="2">
                <c:v>1440000</c:v>
              </c:pt>
              <c:pt idx="3">
                <c:v>900000</c:v>
              </c:pt>
              <c:pt idx="4">
                <c:v>980000</c:v>
              </c:pt>
              <c:pt idx="5">
                <c:v>700000</c:v>
              </c:pt>
              <c:pt idx="6">
                <c:v>1650000</c:v>
              </c:pt>
              <c:pt idx="7">
                <c:v>1500000</c:v>
              </c:pt>
              <c:pt idx="8">
                <c:v>1400000</c:v>
              </c:pt>
              <c:pt idx="9">
                <c:v>980000</c:v>
              </c:pt>
              <c:pt idx="10">
                <c:v>1425000</c:v>
              </c:pt>
              <c:pt idx="11">
                <c:v>1400000</c:v>
              </c:pt>
              <c:pt idx="12">
                <c:v>1260000</c:v>
              </c:pt>
              <c:pt idx="13">
                <c:v>1050000</c:v>
              </c:pt>
              <c:pt idx="14">
                <c:v>1275000</c:v>
              </c:pt>
              <c:pt idx="15">
                <c:v>1300000</c:v>
              </c:pt>
              <c:pt idx="16">
                <c:v>1540000</c:v>
              </c:pt>
              <c:pt idx="17">
                <c:v>770000</c:v>
              </c:pt>
              <c:pt idx="18">
                <c:v>1800000</c:v>
              </c:pt>
              <c:pt idx="19">
                <c:v>1600000</c:v>
              </c:pt>
              <c:pt idx="20">
                <c:v>1680000</c:v>
              </c:pt>
              <c:pt idx="21">
                <c:v>945000</c:v>
              </c:pt>
              <c:pt idx="22">
                <c:v>1500000</c:v>
              </c:pt>
              <c:pt idx="23">
                <c:v>1800000</c:v>
              </c:pt>
              <c:pt idx="24">
                <c:v>1064000</c:v>
              </c:pt>
              <c:pt idx="25">
                <c:v>1225000</c:v>
              </c:pt>
              <c:pt idx="26">
                <c:v>1575000</c:v>
              </c:pt>
              <c:pt idx="27">
                <c:v>1580000</c:v>
              </c:pt>
              <c:pt idx="28">
                <c:v>1344000</c:v>
              </c:pt>
              <c:pt idx="29">
                <c:v>910000</c:v>
              </c:pt>
              <c:pt idx="30">
                <c:v>1725000</c:v>
              </c:pt>
              <c:pt idx="31">
                <c:v>1760000</c:v>
              </c:pt>
              <c:pt idx="32">
                <c:v>1456000</c:v>
              </c:pt>
              <c:pt idx="33">
                <c:v>1015000</c:v>
              </c:pt>
              <c:pt idx="34">
                <c:v>1470000</c:v>
              </c:pt>
              <c:pt idx="35">
                <c:v>1540000</c:v>
              </c:pt>
              <c:pt idx="36">
                <c:v>1204000</c:v>
              </c:pt>
              <c:pt idx="37">
                <c:v>840000</c:v>
              </c:pt>
              <c:pt idx="38">
                <c:v>1950000</c:v>
              </c:pt>
              <c:pt idx="39">
                <c:v>1840000</c:v>
              </c:pt>
              <c:pt idx="40">
                <c:v>1624000</c:v>
              </c:pt>
              <c:pt idx="41">
                <c:v>1155000</c:v>
              </c:pt>
              <c:pt idx="42">
                <c:v>1620000</c:v>
              </c:pt>
              <c:pt idx="43">
                <c:v>1700000</c:v>
              </c:pt>
              <c:pt idx="44">
                <c:v>1316000</c:v>
              </c:pt>
              <c:pt idx="45">
                <c:v>1155000</c:v>
              </c:pt>
              <c:pt idx="46">
                <c:v>1680000</c:v>
              </c:pt>
              <c:pt idx="47">
                <c:v>1580000</c:v>
              </c:pt>
              <c:pt idx="48">
                <c:v>1736000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879-4A21-9722-41D65C8AE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5358112"/>
        <c:axId val="1695358592"/>
      </c:lineChart>
      <c:catAx>
        <c:axId val="169535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58592"/>
        <c:crosses val="autoZero"/>
        <c:auto val="1"/>
        <c:lblAlgn val="ctr"/>
        <c:lblOffset val="100"/>
        <c:noMultiLvlLbl val="0"/>
      </c:catAx>
      <c:valAx>
        <c:axId val="16953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 Venta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58112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"Sede: Bogotá", "Producto": </a:t>
            </a:r>
            <a:r>
              <a:rPr lang="en-US">
                <a:solidFill>
                  <a:srgbClr val="DD5A13"/>
                </a:solidFill>
              </a:rPr>
              <a:t>Cemento</a:t>
            </a:r>
            <a:r>
              <a:rPr lang="en-US"/>
              <a:t> tiene un valor de "Precio Unitario"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ED-4750-8193-D7FD945AD9C6}"/>
              </c:ext>
            </c:extLst>
          </c:dPt>
          <c:cat>
            <c:strLit>
              <c:ptCount val="4"/>
              <c:pt idx="0">
                <c:v> Cemento </c:v>
              </c:pt>
              <c:pt idx="1">
                <c:v> Grava </c:v>
              </c:pt>
              <c:pt idx="2">
                <c:v> Varilla </c:v>
              </c:pt>
              <c:pt idx="3">
                <c:v> Arena </c:v>
              </c:pt>
            </c:strLit>
          </c:cat>
          <c:val>
            <c:numLit>
              <c:formatCode>General</c:formatCode>
              <c:ptCount val="4"/>
              <c:pt idx="0">
                <c:v>84000</c:v>
              </c:pt>
              <c:pt idx="1">
                <c:v>40000</c:v>
              </c:pt>
              <c:pt idx="2">
                <c:v>35000</c:v>
              </c:pt>
              <c:pt idx="3">
                <c:v>15000</c:v>
              </c:pt>
            </c:numLit>
          </c:val>
          <c:extLst>
            <c:ext xmlns:c16="http://schemas.microsoft.com/office/drawing/2014/chart" uri="{C3380CC4-5D6E-409C-BE32-E72D297353CC}">
              <c16:uniqueId val="{00000002-F9ED-4750-8193-D7FD945AD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95368192"/>
        <c:axId val="1695368672"/>
      </c:barChart>
      <c:catAx>
        <c:axId val="16953681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68672"/>
        <c:crosses val="autoZero"/>
        <c:auto val="1"/>
        <c:lblAlgn val="ctr"/>
        <c:lblOffset val="100"/>
        <c:noMultiLvlLbl val="0"/>
      </c:catAx>
      <c:valAx>
        <c:axId val="16953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Unitario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6819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"Sede: Barranquilla", "Producto": </a:t>
            </a:r>
            <a:r>
              <a:rPr lang="en-US">
                <a:solidFill>
                  <a:srgbClr val="DD5A13"/>
                </a:solidFill>
              </a:rPr>
              <a:t>Cemento</a:t>
            </a:r>
            <a:r>
              <a:rPr lang="en-US"/>
              <a:t> y </a:t>
            </a:r>
            <a:r>
              <a:rPr lang="en-US">
                <a:solidFill>
                  <a:srgbClr val="DD5A13"/>
                </a:solidFill>
              </a:rPr>
              <a:t>Varilla</a:t>
            </a:r>
            <a:r>
              <a:rPr lang="en-US"/>
              <a:t> tienen un valor de "Precio Unitario"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  <c:pivotFmt>
        <c:idx val="3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331"/>
          </a:solidFill>
          <a:ln>
            <a:noFill/>
          </a:ln>
          <a:effectLst/>
        </c:spPr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  <c:pivotFmt>
        <c:idx val="6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7331"/>
          </a:solidFill>
          <a:ln>
            <a:noFill/>
          </a:ln>
          <a:effectLst/>
        </c:spPr>
      </c:pivotFmt>
      <c:pivotFmt>
        <c:idx val="8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E6-46F5-B8E4-7CB779F11E1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E6-46F5-B8E4-7CB779F11E10}"/>
              </c:ext>
            </c:extLst>
          </c:dPt>
          <c:cat>
            <c:strLit>
              <c:ptCount val="4"/>
              <c:pt idx="0">
                <c:v> Cemento </c:v>
              </c:pt>
              <c:pt idx="1">
                <c:v> Varilla </c:v>
              </c:pt>
              <c:pt idx="2">
                <c:v> Grava </c:v>
              </c:pt>
              <c:pt idx="3">
                <c:v> Arena </c:v>
              </c:pt>
            </c:strLit>
          </c:cat>
          <c:val>
            <c:numLit>
              <c:formatCode>General</c:formatCode>
              <c:ptCount val="4"/>
              <c:pt idx="0">
                <c:v>84000</c:v>
              </c:pt>
              <c:pt idx="1">
                <c:v>70000</c:v>
              </c:pt>
              <c:pt idx="2">
                <c:v>40000</c:v>
              </c:pt>
              <c:pt idx="3">
                <c:v>30000</c:v>
              </c:pt>
            </c:numLit>
          </c:val>
          <c:extLst>
            <c:ext xmlns:c16="http://schemas.microsoft.com/office/drawing/2014/chart" uri="{C3380CC4-5D6E-409C-BE32-E72D297353CC}">
              <c16:uniqueId val="{00000004-53E6-46F5-B8E4-7CB779F11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695168512"/>
        <c:axId val="1695162272"/>
      </c:barChart>
      <c:catAx>
        <c:axId val="169516851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162272"/>
        <c:crosses val="autoZero"/>
        <c:auto val="1"/>
        <c:lblAlgn val="ctr"/>
        <c:lblOffset val="100"/>
        <c:noMultiLvlLbl val="0"/>
      </c:catAx>
      <c:valAx>
        <c:axId val="169516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Unitario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16851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"Sede: Medellín", "Producto": </a:t>
            </a:r>
            <a:r>
              <a:rPr lang="en-US">
                <a:solidFill>
                  <a:srgbClr val="DD5A13"/>
                </a:solidFill>
              </a:rPr>
              <a:t>Varilla</a:t>
            </a:r>
            <a:r>
              <a:rPr lang="en-US"/>
              <a:t> tiene un valor de "Precio Unitario"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C5-464C-8004-60611299E411}"/>
              </c:ext>
            </c:extLst>
          </c:dPt>
          <c:cat>
            <c:strLit>
              <c:ptCount val="4"/>
              <c:pt idx="0">
                <c:v> Varilla </c:v>
              </c:pt>
              <c:pt idx="1">
                <c:v> Cemento </c:v>
              </c:pt>
              <c:pt idx="2">
                <c:v> Arena </c:v>
              </c:pt>
              <c:pt idx="3">
                <c:v> Grava </c:v>
              </c:pt>
            </c:strLit>
          </c:cat>
          <c:val>
            <c:numLit>
              <c:formatCode>General</c:formatCode>
              <c:ptCount val="4"/>
              <c:pt idx="0">
                <c:v>105000</c:v>
              </c:pt>
              <c:pt idx="1">
                <c:v>56000</c:v>
              </c:pt>
              <c:pt idx="2">
                <c:v>45000</c:v>
              </c:pt>
              <c:pt idx="3">
                <c:v>40000</c:v>
              </c:pt>
            </c:numLit>
          </c:val>
          <c:extLst>
            <c:ext xmlns:c16="http://schemas.microsoft.com/office/drawing/2014/chart" uri="{C3380CC4-5D6E-409C-BE32-E72D297353CC}">
              <c16:uniqueId val="{00000002-ECC5-464C-8004-60611299E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95376352"/>
        <c:axId val="1695363872"/>
      </c:barChart>
      <c:catAx>
        <c:axId val="16953763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63872"/>
        <c:crosses val="autoZero"/>
        <c:auto val="1"/>
        <c:lblAlgn val="ctr"/>
        <c:lblOffset val="100"/>
        <c:noMultiLvlLbl val="0"/>
      </c:catAx>
      <c:valAx>
        <c:axId val="169536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Unitario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7635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"Total Venta" por "Sede"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 Bucaramanga</c:v>
              </c:pt>
              <c:pt idx="1">
                <c:v> Medellín</c:v>
              </c:pt>
              <c:pt idx="2">
                <c:v> Cali</c:v>
              </c:pt>
              <c:pt idx="3">
                <c:v> Barranquilla</c:v>
              </c:pt>
              <c:pt idx="4">
                <c:v> Bogotá</c:v>
              </c:pt>
              <c:pt idx="5">
                <c:v>Honda</c:v>
              </c:pt>
            </c:strLit>
          </c:cat>
          <c:val>
            <c:numLit>
              <c:formatCode>General</c:formatCode>
              <c:ptCount val="6"/>
              <c:pt idx="0">
                <c:v>14695000</c:v>
              </c:pt>
              <c:pt idx="1">
                <c:v>13784000</c:v>
              </c:pt>
              <c:pt idx="2">
                <c:v>13546000</c:v>
              </c:pt>
              <c:pt idx="3">
                <c:v>11435000</c:v>
              </c:pt>
              <c:pt idx="4">
                <c:v>9689000</c:v>
              </c:pt>
              <c:pt idx="5">
                <c:v>3805000</c:v>
              </c:pt>
            </c:numLit>
          </c:val>
          <c:extLst>
            <c:ext xmlns:c16="http://schemas.microsoft.com/office/drawing/2014/chart" uri="{C3380CC4-5D6E-409C-BE32-E72D297353CC}">
              <c16:uniqueId val="{00000000-A413-424F-9B1D-CC41A0818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95191072"/>
        <c:axId val="1695191552"/>
      </c:barChart>
      <c:catAx>
        <c:axId val="169519107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191552"/>
        <c:crosses val="autoZero"/>
        <c:auto val="1"/>
        <c:lblAlgn val="ctr"/>
        <c:lblOffset val="100"/>
        <c:noMultiLvlLbl val="0"/>
      </c:catAx>
      <c:valAx>
        <c:axId val="169519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 Venta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191072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"Sede: Bucaramanga", "Producto": </a:t>
            </a:r>
            <a:r>
              <a:rPr lang="en-US">
                <a:solidFill>
                  <a:srgbClr val="DD5A13"/>
                </a:solidFill>
              </a:rPr>
              <a:t>Cemento</a:t>
            </a:r>
            <a:r>
              <a:rPr lang="en-US"/>
              <a:t> tiene un valor de "Precio Unitario"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B-4E25-BC47-9DB7BCA71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B-4E25-BC47-9DB7BCA71254}"/>
              </c:ext>
            </c:extLst>
          </c:dPt>
          <c:cat>
            <c:strLit>
              <c:ptCount val="4"/>
              <c:pt idx="0">
                <c:v> Varilla </c:v>
              </c:pt>
              <c:pt idx="1">
                <c:v> Cemento </c:v>
              </c:pt>
              <c:pt idx="2">
                <c:v> Arena </c:v>
              </c:pt>
              <c:pt idx="3">
                <c:v> Grava </c:v>
              </c:pt>
            </c:strLit>
          </c:cat>
          <c:val>
            <c:numLit>
              <c:formatCode>General</c:formatCode>
              <c:ptCount val="4"/>
              <c:pt idx="0">
                <c:v>105000</c:v>
              </c:pt>
              <c:pt idx="1">
                <c:v>56000</c:v>
              </c:pt>
              <c:pt idx="2">
                <c:v>45000</c:v>
              </c:pt>
              <c:pt idx="3">
                <c:v>40000</c:v>
              </c:pt>
            </c:numLit>
          </c:val>
          <c:extLst>
            <c:ext xmlns:c16="http://schemas.microsoft.com/office/drawing/2014/chart" uri="{C3380CC4-5D6E-409C-BE32-E72D297353CC}">
              <c16:uniqueId val="{00000004-354B-4E25-BC47-9DB7BCA71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95376352"/>
        <c:axId val="1695363872"/>
      </c:barChart>
      <c:catAx>
        <c:axId val="169537635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63872"/>
        <c:crosses val="autoZero"/>
        <c:auto val="1"/>
        <c:lblAlgn val="ctr"/>
        <c:lblOffset val="100"/>
        <c:noMultiLvlLbl val="0"/>
      </c:catAx>
      <c:valAx>
        <c:axId val="169536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Unitario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37635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"Sede: Cali", "Producto": </a:t>
            </a:r>
            <a:r>
              <a:rPr lang="en-US">
                <a:solidFill>
                  <a:srgbClr val="DD5A13"/>
                </a:solidFill>
              </a:rPr>
              <a:t>Grava</a:t>
            </a:r>
            <a:r>
              <a:rPr lang="en-US"/>
              <a:t> tiene un valor de "Total Venta" notablemente superior.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  <c:pivotFmt>
        <c:idx val="4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9-46BC-BEC1-E654F243A93C}"/>
              </c:ext>
            </c:extLst>
          </c:dPt>
          <c:cat>
            <c:strLit>
              <c:ptCount val="4"/>
              <c:pt idx="0">
                <c:v> Grava </c:v>
              </c:pt>
              <c:pt idx="1">
                <c:v> Arena </c:v>
              </c:pt>
              <c:pt idx="2">
                <c:v> Cemento </c:v>
              </c:pt>
              <c:pt idx="3">
                <c:v> Varilla </c:v>
              </c:pt>
            </c:strLit>
          </c:cat>
          <c:val>
            <c:numLit>
              <c:formatCode>General</c:formatCode>
              <c:ptCount val="4"/>
              <c:pt idx="0">
                <c:v>6100000</c:v>
              </c:pt>
              <c:pt idx="1">
                <c:v>3120000</c:v>
              </c:pt>
              <c:pt idx="2">
                <c:v>2716000</c:v>
              </c:pt>
              <c:pt idx="3">
                <c:v>1610000</c:v>
              </c:pt>
            </c:numLit>
          </c:val>
          <c:extLst>
            <c:ext xmlns:c16="http://schemas.microsoft.com/office/drawing/2014/chart" uri="{C3380CC4-5D6E-409C-BE32-E72D297353CC}">
              <c16:uniqueId val="{00000002-7E79-46BC-BEC1-E654F243A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695180032"/>
        <c:axId val="1695180512"/>
      </c:barChart>
      <c:catAx>
        <c:axId val="169518003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180512"/>
        <c:crosses val="autoZero"/>
        <c:auto val="1"/>
        <c:lblAlgn val="ctr"/>
        <c:lblOffset val="100"/>
        <c:noMultiLvlLbl val="0"/>
      </c:catAx>
      <c:valAx>
        <c:axId val="16951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Total Venta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5180032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 "Sede: Honda","Producto": </a:t>
            </a:r>
            <a:r>
              <a:rPr lang="en-US">
                <a:solidFill>
                  <a:srgbClr val="DD5A13"/>
                </a:solidFill>
              </a:rPr>
              <a:t>Varilla</a:t>
            </a:r>
            <a:r>
              <a:rPr lang="en-US"/>
              <a:t> representa la mayoría de "Precio Unitario".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2D2D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4E-468C-A93F-52B40DE517D6}"/>
              </c:ext>
            </c:extLst>
          </c:dPt>
          <c:cat>
            <c:strLit>
              <c:ptCount val="2"/>
              <c:pt idx="0">
                <c:v> Varilla </c:v>
              </c:pt>
              <c:pt idx="1">
                <c:v> Arena </c:v>
              </c:pt>
            </c:strLit>
          </c:cat>
          <c:val>
            <c:numLit>
              <c:formatCode>General</c:formatCode>
              <c:ptCount val="2"/>
              <c:pt idx="0">
                <c:v>70000</c:v>
              </c:pt>
              <c:pt idx="1">
                <c:v>15000</c:v>
              </c:pt>
            </c:numLit>
          </c:val>
          <c:extLst>
            <c:ext xmlns:c16="http://schemas.microsoft.com/office/drawing/2014/chart" uri="{C3380CC4-5D6E-409C-BE32-E72D297353CC}">
              <c16:uniqueId val="{00000002-1B4E-468C-A93F-52B40DE51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3980560"/>
        <c:axId val="1693982960"/>
      </c:barChart>
      <c:catAx>
        <c:axId val="1693980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3982960"/>
        <c:crosses val="autoZero"/>
        <c:auto val="1"/>
        <c:lblAlgn val="ctr"/>
        <c:lblOffset val="100"/>
        <c:noMultiLvlLbl val="0"/>
      </c:catAx>
      <c:valAx>
        <c:axId val="169398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9398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'Previsión de Total venta'!$B$1</c:f>
              <c:strCache>
                <c:ptCount val="1"/>
                <c:pt idx="0">
                  <c:v>Total Venta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'Previsión de Total venta'!$B$2:$B$79</c:f>
              <c:numCache>
                <c:formatCode>"$"\ #,##0</c:formatCode>
                <c:ptCount val="78"/>
                <c:pt idx="0">
                  <c:v>1120000</c:v>
                </c:pt>
                <c:pt idx="1">
                  <c:v>875000</c:v>
                </c:pt>
                <c:pt idx="2">
                  <c:v>1440000</c:v>
                </c:pt>
                <c:pt idx="3">
                  <c:v>900000</c:v>
                </c:pt>
                <c:pt idx="4">
                  <c:v>980000</c:v>
                </c:pt>
                <c:pt idx="5">
                  <c:v>700000</c:v>
                </c:pt>
                <c:pt idx="6">
                  <c:v>1650000</c:v>
                </c:pt>
                <c:pt idx="7">
                  <c:v>1500000</c:v>
                </c:pt>
                <c:pt idx="8">
                  <c:v>1400000</c:v>
                </c:pt>
                <c:pt idx="9">
                  <c:v>980000</c:v>
                </c:pt>
                <c:pt idx="10">
                  <c:v>1425000</c:v>
                </c:pt>
                <c:pt idx="11">
                  <c:v>1400000</c:v>
                </c:pt>
                <c:pt idx="12">
                  <c:v>1260000</c:v>
                </c:pt>
                <c:pt idx="13">
                  <c:v>1050000</c:v>
                </c:pt>
                <c:pt idx="14">
                  <c:v>1275000</c:v>
                </c:pt>
                <c:pt idx="15">
                  <c:v>1300000</c:v>
                </c:pt>
                <c:pt idx="16">
                  <c:v>1540000</c:v>
                </c:pt>
                <c:pt idx="17">
                  <c:v>770000</c:v>
                </c:pt>
                <c:pt idx="18">
                  <c:v>1800000</c:v>
                </c:pt>
                <c:pt idx="19">
                  <c:v>1600000</c:v>
                </c:pt>
                <c:pt idx="20">
                  <c:v>1680000</c:v>
                </c:pt>
                <c:pt idx="21">
                  <c:v>945000</c:v>
                </c:pt>
                <c:pt idx="22">
                  <c:v>1500000</c:v>
                </c:pt>
                <c:pt idx="23">
                  <c:v>1800000</c:v>
                </c:pt>
                <c:pt idx="24">
                  <c:v>1064000</c:v>
                </c:pt>
                <c:pt idx="25">
                  <c:v>1225000</c:v>
                </c:pt>
                <c:pt idx="26">
                  <c:v>1575000</c:v>
                </c:pt>
                <c:pt idx="27">
                  <c:v>1580000</c:v>
                </c:pt>
                <c:pt idx="28">
                  <c:v>1344000</c:v>
                </c:pt>
                <c:pt idx="29">
                  <c:v>1127000</c:v>
                </c:pt>
                <c:pt idx="30">
                  <c:v>910000</c:v>
                </c:pt>
                <c:pt idx="31">
                  <c:v>1725000</c:v>
                </c:pt>
                <c:pt idx="32">
                  <c:v>1760000</c:v>
                </c:pt>
                <c:pt idx="33">
                  <c:v>1456000</c:v>
                </c:pt>
                <c:pt idx="34">
                  <c:v>1015000</c:v>
                </c:pt>
                <c:pt idx="35">
                  <c:v>1470000</c:v>
                </c:pt>
                <c:pt idx="36">
                  <c:v>1540000</c:v>
                </c:pt>
                <c:pt idx="37">
                  <c:v>1204000</c:v>
                </c:pt>
                <c:pt idx="38">
                  <c:v>840000</c:v>
                </c:pt>
                <c:pt idx="39">
                  <c:v>1950000</c:v>
                </c:pt>
                <c:pt idx="40">
                  <c:v>1840000</c:v>
                </c:pt>
                <c:pt idx="41">
                  <c:v>1624000</c:v>
                </c:pt>
                <c:pt idx="42">
                  <c:v>1155000</c:v>
                </c:pt>
                <c:pt idx="43">
                  <c:v>1620000</c:v>
                </c:pt>
                <c:pt idx="44">
                  <c:v>1700000</c:v>
                </c:pt>
                <c:pt idx="45">
                  <c:v>1316000</c:v>
                </c:pt>
                <c:pt idx="46">
                  <c:v>1155000</c:v>
                </c:pt>
                <c:pt idx="47">
                  <c:v>1680000</c:v>
                </c:pt>
                <c:pt idx="48">
                  <c:v>1580000</c:v>
                </c:pt>
                <c:pt idx="49">
                  <c:v>1736000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1-4873-8C50-7B0C59EE8177}"/>
            </c:ext>
          </c:extLst>
        </c:ser>
        <c:ser>
          <c:idx val="1"/>
          <c:order val="1"/>
          <c:tx>
            <c:strRef>
              <c:f>'Previsión de Total venta'!$C$1</c:f>
              <c:strCache>
                <c:ptCount val="1"/>
                <c:pt idx="0">
                  <c:v>Previsión(Total Venta)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'Previsión de Total venta'!$A$2:$A$79</c:f>
              <c:numCache>
                <c:formatCode>m/d/yyyy</c:formatCode>
                <c:ptCount val="78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46032</c:v>
                </c:pt>
                <c:pt idx="9">
                  <c:v>46033</c:v>
                </c:pt>
                <c:pt idx="10">
                  <c:v>46034</c:v>
                </c:pt>
                <c:pt idx="11">
                  <c:v>46035</c:v>
                </c:pt>
                <c:pt idx="12">
                  <c:v>46036</c:v>
                </c:pt>
                <c:pt idx="13">
                  <c:v>46037</c:v>
                </c:pt>
                <c:pt idx="14">
                  <c:v>46038</c:v>
                </c:pt>
                <c:pt idx="15">
                  <c:v>46039</c:v>
                </c:pt>
                <c:pt idx="16">
                  <c:v>46040</c:v>
                </c:pt>
                <c:pt idx="17">
                  <c:v>46041</c:v>
                </c:pt>
                <c:pt idx="18">
                  <c:v>46042</c:v>
                </c:pt>
                <c:pt idx="19">
                  <c:v>46043</c:v>
                </c:pt>
                <c:pt idx="20">
                  <c:v>46044</c:v>
                </c:pt>
                <c:pt idx="21">
                  <c:v>46045</c:v>
                </c:pt>
                <c:pt idx="22">
                  <c:v>46046</c:v>
                </c:pt>
                <c:pt idx="23">
                  <c:v>46047</c:v>
                </c:pt>
                <c:pt idx="24">
                  <c:v>46048</c:v>
                </c:pt>
                <c:pt idx="25">
                  <c:v>46049</c:v>
                </c:pt>
                <c:pt idx="26">
                  <c:v>46050</c:v>
                </c:pt>
                <c:pt idx="27">
                  <c:v>46051</c:v>
                </c:pt>
                <c:pt idx="28">
                  <c:v>46052</c:v>
                </c:pt>
                <c:pt idx="29">
                  <c:v>46053</c:v>
                </c:pt>
                <c:pt idx="30">
                  <c:v>46054</c:v>
                </c:pt>
                <c:pt idx="31">
                  <c:v>46055</c:v>
                </c:pt>
                <c:pt idx="32">
                  <c:v>46056</c:v>
                </c:pt>
                <c:pt idx="33">
                  <c:v>46057</c:v>
                </c:pt>
                <c:pt idx="34">
                  <c:v>46058</c:v>
                </c:pt>
                <c:pt idx="35">
                  <c:v>46059</c:v>
                </c:pt>
                <c:pt idx="36">
                  <c:v>46060</c:v>
                </c:pt>
                <c:pt idx="37">
                  <c:v>46061</c:v>
                </c:pt>
                <c:pt idx="38">
                  <c:v>46062</c:v>
                </c:pt>
                <c:pt idx="39">
                  <c:v>46063</c:v>
                </c:pt>
                <c:pt idx="40">
                  <c:v>46064</c:v>
                </c:pt>
                <c:pt idx="41">
                  <c:v>46065</c:v>
                </c:pt>
                <c:pt idx="42">
                  <c:v>46066</c:v>
                </c:pt>
                <c:pt idx="43">
                  <c:v>46067</c:v>
                </c:pt>
                <c:pt idx="44">
                  <c:v>46068</c:v>
                </c:pt>
                <c:pt idx="45">
                  <c:v>46069</c:v>
                </c:pt>
                <c:pt idx="46">
                  <c:v>46070</c:v>
                </c:pt>
                <c:pt idx="47">
                  <c:v>46071</c:v>
                </c:pt>
                <c:pt idx="48">
                  <c:v>46072</c:v>
                </c:pt>
                <c:pt idx="49">
                  <c:v>46073</c:v>
                </c:pt>
                <c:pt idx="50">
                  <c:v>46074</c:v>
                </c:pt>
                <c:pt idx="51">
                  <c:v>46075</c:v>
                </c:pt>
                <c:pt idx="52">
                  <c:v>46076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46081</c:v>
                </c:pt>
                <c:pt idx="58">
                  <c:v>46082</c:v>
                </c:pt>
                <c:pt idx="59">
                  <c:v>46083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46088</c:v>
                </c:pt>
                <c:pt idx="65">
                  <c:v>46089</c:v>
                </c:pt>
                <c:pt idx="66">
                  <c:v>46090</c:v>
                </c:pt>
                <c:pt idx="67">
                  <c:v>46091</c:v>
                </c:pt>
                <c:pt idx="68">
                  <c:v>46092</c:v>
                </c:pt>
                <c:pt idx="69">
                  <c:v>46093</c:v>
                </c:pt>
                <c:pt idx="70">
                  <c:v>46094</c:v>
                </c:pt>
                <c:pt idx="71">
                  <c:v>46095</c:v>
                </c:pt>
                <c:pt idx="72">
                  <c:v>46096</c:v>
                </c:pt>
                <c:pt idx="73">
                  <c:v>46097</c:v>
                </c:pt>
                <c:pt idx="74">
                  <c:v>46098</c:v>
                </c:pt>
                <c:pt idx="75">
                  <c:v>46099</c:v>
                </c:pt>
                <c:pt idx="76">
                  <c:v>46100</c:v>
                </c:pt>
                <c:pt idx="77">
                  <c:v>46101</c:v>
                </c:pt>
              </c:numCache>
            </c:numRef>
          </c:cat>
          <c:val>
            <c:numRef>
              <c:f>'Previsión de Total venta'!$C$2:$C$79</c:f>
              <c:numCache>
                <c:formatCode>General</c:formatCode>
                <c:ptCount val="78"/>
                <c:pt idx="49" formatCode="&quot;$&quot;\ #,##0">
                  <c:v>1736000</c:v>
                </c:pt>
                <c:pt idx="50" formatCode="&quot;$&quot;\ #,##0">
                  <c:v>1179074.5660314187</c:v>
                </c:pt>
                <c:pt idx="51" formatCode="&quot;$&quot;\ #,##0">
                  <c:v>1751941.9355108491</c:v>
                </c:pt>
                <c:pt idx="52" formatCode="&quot;$&quot;\ #,##0">
                  <c:v>1704981.5554130399</c:v>
                </c:pt>
                <c:pt idx="53" formatCode="&quot;$&quot;\ #,##0">
                  <c:v>1622670.5359279092</c:v>
                </c:pt>
                <c:pt idx="54" formatCode="&quot;$&quot;\ #,##0">
                  <c:v>1212808.8293606914</c:v>
                </c:pt>
                <c:pt idx="55" formatCode="&quot;$&quot;\ #,##0">
                  <c:v>1785676.1988401217</c:v>
                </c:pt>
                <c:pt idx="56" formatCode="&quot;$&quot;\ #,##0">
                  <c:v>1738715.8187423125</c:v>
                </c:pt>
                <c:pt idx="57" formatCode="&quot;$&quot;\ #,##0">
                  <c:v>1656404.7992571818</c:v>
                </c:pt>
                <c:pt idx="58" formatCode="&quot;$&quot;\ #,##0">
                  <c:v>1246543.092689964</c:v>
                </c:pt>
                <c:pt idx="59" formatCode="&quot;$&quot;\ #,##0">
                  <c:v>1819410.4621693944</c:v>
                </c:pt>
                <c:pt idx="60" formatCode="&quot;$&quot;\ #,##0">
                  <c:v>1772450.0820715851</c:v>
                </c:pt>
                <c:pt idx="61" formatCode="&quot;$&quot;\ #,##0">
                  <c:v>1690139.0625864544</c:v>
                </c:pt>
                <c:pt idx="62" formatCode="&quot;$&quot;\ #,##0">
                  <c:v>1280277.3560192366</c:v>
                </c:pt>
                <c:pt idx="63" formatCode="&quot;$&quot;\ #,##0">
                  <c:v>1853144.725498667</c:v>
                </c:pt>
                <c:pt idx="64" formatCode="&quot;$&quot;\ #,##0">
                  <c:v>1806184.3454008577</c:v>
                </c:pt>
                <c:pt idx="65" formatCode="&quot;$&quot;\ #,##0">
                  <c:v>1723873.3259157271</c:v>
                </c:pt>
                <c:pt idx="66" formatCode="&quot;$&quot;\ #,##0">
                  <c:v>1314011.6193485092</c:v>
                </c:pt>
                <c:pt idx="67" formatCode="&quot;$&quot;\ #,##0">
                  <c:v>1886878.9888279396</c:v>
                </c:pt>
                <c:pt idx="68" formatCode="&quot;$&quot;\ #,##0">
                  <c:v>1839918.6087301304</c:v>
                </c:pt>
                <c:pt idx="69" formatCode="&quot;$&quot;\ #,##0">
                  <c:v>1757607.5892449997</c:v>
                </c:pt>
                <c:pt idx="70" formatCode="&quot;$&quot;\ #,##0">
                  <c:v>1347745.8826777819</c:v>
                </c:pt>
                <c:pt idx="71" formatCode="&quot;$&quot;\ #,##0">
                  <c:v>1920613.2521572122</c:v>
                </c:pt>
                <c:pt idx="72" formatCode="&quot;$&quot;\ #,##0">
                  <c:v>1873652.872059403</c:v>
                </c:pt>
                <c:pt idx="73" formatCode="&quot;$&quot;\ #,##0">
                  <c:v>1791341.8525742723</c:v>
                </c:pt>
                <c:pt idx="74" formatCode="&quot;$&quot;\ #,##0">
                  <c:v>1381480.1460070545</c:v>
                </c:pt>
                <c:pt idx="75" formatCode="&quot;$&quot;\ #,##0">
                  <c:v>1954347.5154864849</c:v>
                </c:pt>
                <c:pt idx="76" formatCode="&quot;$&quot;\ #,##0">
                  <c:v>1907387.1353886756</c:v>
                </c:pt>
                <c:pt idx="77" formatCode="&quot;$&quot;\ #,##0">
                  <c:v>1825076.1159035449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1-4873-8C50-7B0C59EE8177}"/>
            </c:ext>
          </c:extLst>
        </c:ser>
        <c:ser>
          <c:idx val="2"/>
          <c:order val="2"/>
          <c:tx>
            <c:strRef>
              <c:f>'Previsión de Total venta'!$D$1</c:f>
              <c:strCache>
                <c:ptCount val="1"/>
                <c:pt idx="0">
                  <c:v>Límite de confianza inferior(Total Venta)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'Previsión de Total venta'!$A$2:$A$79</c:f>
              <c:numCache>
                <c:formatCode>m/d/yyyy</c:formatCode>
                <c:ptCount val="78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46032</c:v>
                </c:pt>
                <c:pt idx="9">
                  <c:v>46033</c:v>
                </c:pt>
                <c:pt idx="10">
                  <c:v>46034</c:v>
                </c:pt>
                <c:pt idx="11">
                  <c:v>46035</c:v>
                </c:pt>
                <c:pt idx="12">
                  <c:v>46036</c:v>
                </c:pt>
                <c:pt idx="13">
                  <c:v>46037</c:v>
                </c:pt>
                <c:pt idx="14">
                  <c:v>46038</c:v>
                </c:pt>
                <c:pt idx="15">
                  <c:v>46039</c:v>
                </c:pt>
                <c:pt idx="16">
                  <c:v>46040</c:v>
                </c:pt>
                <c:pt idx="17">
                  <c:v>46041</c:v>
                </c:pt>
                <c:pt idx="18">
                  <c:v>46042</c:v>
                </c:pt>
                <c:pt idx="19">
                  <c:v>46043</c:v>
                </c:pt>
                <c:pt idx="20">
                  <c:v>46044</c:v>
                </c:pt>
                <c:pt idx="21">
                  <c:v>46045</c:v>
                </c:pt>
                <c:pt idx="22">
                  <c:v>46046</c:v>
                </c:pt>
                <c:pt idx="23">
                  <c:v>46047</c:v>
                </c:pt>
                <c:pt idx="24">
                  <c:v>46048</c:v>
                </c:pt>
                <c:pt idx="25">
                  <c:v>46049</c:v>
                </c:pt>
                <c:pt idx="26">
                  <c:v>46050</c:v>
                </c:pt>
                <c:pt idx="27">
                  <c:v>46051</c:v>
                </c:pt>
                <c:pt idx="28">
                  <c:v>46052</c:v>
                </c:pt>
                <c:pt idx="29">
                  <c:v>46053</c:v>
                </c:pt>
                <c:pt idx="30">
                  <c:v>46054</c:v>
                </c:pt>
                <c:pt idx="31">
                  <c:v>46055</c:v>
                </c:pt>
                <c:pt idx="32">
                  <c:v>46056</c:v>
                </c:pt>
                <c:pt idx="33">
                  <c:v>46057</c:v>
                </c:pt>
                <c:pt idx="34">
                  <c:v>46058</c:v>
                </c:pt>
                <c:pt idx="35">
                  <c:v>46059</c:v>
                </c:pt>
                <c:pt idx="36">
                  <c:v>46060</c:v>
                </c:pt>
                <c:pt idx="37">
                  <c:v>46061</c:v>
                </c:pt>
                <c:pt idx="38">
                  <c:v>46062</c:v>
                </c:pt>
                <c:pt idx="39">
                  <c:v>46063</c:v>
                </c:pt>
                <c:pt idx="40">
                  <c:v>46064</c:v>
                </c:pt>
                <c:pt idx="41">
                  <c:v>46065</c:v>
                </c:pt>
                <c:pt idx="42">
                  <c:v>46066</c:v>
                </c:pt>
                <c:pt idx="43">
                  <c:v>46067</c:v>
                </c:pt>
                <c:pt idx="44">
                  <c:v>46068</c:v>
                </c:pt>
                <c:pt idx="45">
                  <c:v>46069</c:v>
                </c:pt>
                <c:pt idx="46">
                  <c:v>46070</c:v>
                </c:pt>
                <c:pt idx="47">
                  <c:v>46071</c:v>
                </c:pt>
                <c:pt idx="48">
                  <c:v>46072</c:v>
                </c:pt>
                <c:pt idx="49">
                  <c:v>46073</c:v>
                </c:pt>
                <c:pt idx="50">
                  <c:v>46074</c:v>
                </c:pt>
                <c:pt idx="51">
                  <c:v>46075</c:v>
                </c:pt>
                <c:pt idx="52">
                  <c:v>46076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46081</c:v>
                </c:pt>
                <c:pt idx="58">
                  <c:v>46082</c:v>
                </c:pt>
                <c:pt idx="59">
                  <c:v>46083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46088</c:v>
                </c:pt>
                <c:pt idx="65">
                  <c:v>46089</c:v>
                </c:pt>
                <c:pt idx="66">
                  <c:v>46090</c:v>
                </c:pt>
                <c:pt idx="67">
                  <c:v>46091</c:v>
                </c:pt>
                <c:pt idx="68">
                  <c:v>46092</c:v>
                </c:pt>
                <c:pt idx="69">
                  <c:v>46093</c:v>
                </c:pt>
                <c:pt idx="70">
                  <c:v>46094</c:v>
                </c:pt>
                <c:pt idx="71">
                  <c:v>46095</c:v>
                </c:pt>
                <c:pt idx="72">
                  <c:v>46096</c:v>
                </c:pt>
                <c:pt idx="73">
                  <c:v>46097</c:v>
                </c:pt>
                <c:pt idx="74">
                  <c:v>46098</c:v>
                </c:pt>
                <c:pt idx="75">
                  <c:v>46099</c:v>
                </c:pt>
                <c:pt idx="76">
                  <c:v>46100</c:v>
                </c:pt>
                <c:pt idx="77">
                  <c:v>46101</c:v>
                </c:pt>
              </c:numCache>
            </c:numRef>
          </c:cat>
          <c:val>
            <c:numRef>
              <c:f>'Previsión de Total venta'!$D$2:$D$79</c:f>
              <c:numCache>
                <c:formatCode>General</c:formatCode>
                <c:ptCount val="78"/>
                <c:pt idx="49" formatCode="&quot;$&quot;\ #,##0">
                  <c:v>1736000</c:v>
                </c:pt>
                <c:pt idx="50" formatCode="&quot;$&quot;\ #,##0">
                  <c:v>703414.47760764882</c:v>
                </c:pt>
                <c:pt idx="51" formatCode="&quot;$&quot;\ #,##0">
                  <c:v>1276279.7066214974</c:v>
                </c:pt>
                <c:pt idx="52" formatCode="&quot;$&quot;\ #,##0">
                  <c:v>1229315.5212753252</c:v>
                </c:pt>
                <c:pt idx="53" formatCode="&quot;$&quot;\ #,##0">
                  <c:v>1146998.5561505686</c:v>
                </c:pt>
                <c:pt idx="54" formatCode="&quot;$&quot;\ #,##0">
                  <c:v>679711.63139005157</c:v>
                </c:pt>
                <c:pt idx="55" formatCode="&quot;$&quot;\ #,##0">
                  <c:v>1252568.6028919737</c:v>
                </c:pt>
                <c:pt idx="56" formatCode="&quot;$&quot;\ #,##0">
                  <c:v>1205594.6420677446</c:v>
                </c:pt>
                <c:pt idx="57" formatCode="&quot;$&quot;\ #,##0">
                  <c:v>1123266.4349717246</c:v>
                </c:pt>
                <c:pt idx="58" formatCode="&quot;$&quot;\ #,##0">
                  <c:v>660808.68542676989</c:v>
                </c:pt>
                <c:pt idx="59" formatCode="&quot;$&quot;\ #,##0">
                  <c:v>1233652.6859454238</c:v>
                </c:pt>
                <c:pt idx="60" formatCode="&quot;$&quot;\ #,##0">
                  <c:v>1186664.4960678914</c:v>
                </c:pt>
                <c:pt idx="61" formatCode="&quot;$&quot;\ #,##0">
                  <c:v>1104320.8404001491</c:v>
                </c:pt>
                <c:pt idx="62" formatCode="&quot;$&quot;\ #,##0">
                  <c:v>645487.62693937356</c:v>
                </c:pt>
                <c:pt idx="63" formatCode="&quot;$&quot;\ #,##0">
                  <c:v>1218314.9002996434</c:v>
                </c:pt>
                <c:pt idx="64" formatCode="&quot;$&quot;\ #,##0">
                  <c:v>1171308.9028081624</c:v>
                </c:pt>
                <c:pt idx="65" formatCode="&quot;$&quot;\ #,##0">
                  <c:v>1088946.3895006229</c:v>
                </c:pt>
                <c:pt idx="66" formatCode="&quot;$&quot;\ #,##0">
                  <c:v>632952.7410665846</c:v>
                </c:pt>
                <c:pt idx="67" formatCode="&quot;$&quot;\ #,##0">
                  <c:v>1205760.1498238696</c:v>
                </c:pt>
                <c:pt idx="68" formatCode="&quot;$&quot;\ #,##0">
                  <c:v>1158733.3374168556</c:v>
                </c:pt>
                <c:pt idx="69" formatCode="&quot;$&quot;\ #,##0">
                  <c:v>1076349.0838189493</c:v>
                </c:pt>
                <c:pt idx="70" formatCode="&quot;$&quot;\ #,##0">
                  <c:v>622650.48012820538</c:v>
                </c:pt>
                <c:pt idx="71" formatCode="&quot;$&quot;\ #,##0">
                  <c:v>1195435.3220038852</c:v>
                </c:pt>
                <c:pt idx="72" formatCode="&quot;$&quot;\ #,##0">
                  <c:v>1148385.0926614609</c:v>
                </c:pt>
                <c:pt idx="73" formatCode="&quot;$&quot;\ #,##0">
                  <c:v>1065976.5930962306</c:v>
                </c:pt>
                <c:pt idx="74" formatCode="&quot;$&quot;\ #,##0">
                  <c:v>614177.46661416581</c:v>
                </c:pt>
                <c:pt idx="75" formatCode="&quot;$&quot;\ #,##0">
                  <c:v>1186937.3644652846</c:v>
                </c:pt>
                <c:pt idx="76" formatCode="&quot;$&quot;\ #,##0">
                  <c:v>1139861.4212488551</c:v>
                </c:pt>
                <c:pt idx="77" formatCode="&quot;$&quot;\ #,##0">
                  <c:v>1057426.456074971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1-4873-8C50-7B0C59EE8177}"/>
            </c:ext>
          </c:extLst>
        </c:ser>
        <c:ser>
          <c:idx val="3"/>
          <c:order val="3"/>
          <c:tx>
            <c:strRef>
              <c:f>'Previsión de Total venta'!$E$1</c:f>
              <c:strCache>
                <c:ptCount val="1"/>
                <c:pt idx="0">
                  <c:v>Límite de confianza superior(Total Venta)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'Previsión de Total venta'!$A$2:$A$79</c:f>
              <c:numCache>
                <c:formatCode>m/d/yyyy</c:formatCode>
                <c:ptCount val="78"/>
                <c:pt idx="0">
                  <c:v>46024</c:v>
                </c:pt>
                <c:pt idx="1">
                  <c:v>46025</c:v>
                </c:pt>
                <c:pt idx="2">
                  <c:v>46026</c:v>
                </c:pt>
                <c:pt idx="3">
                  <c:v>46027</c:v>
                </c:pt>
                <c:pt idx="4">
                  <c:v>46028</c:v>
                </c:pt>
                <c:pt idx="5">
                  <c:v>46029</c:v>
                </c:pt>
                <c:pt idx="6">
                  <c:v>46030</c:v>
                </c:pt>
                <c:pt idx="7">
                  <c:v>46031</c:v>
                </c:pt>
                <c:pt idx="8">
                  <c:v>46032</c:v>
                </c:pt>
                <c:pt idx="9">
                  <c:v>46033</c:v>
                </c:pt>
                <c:pt idx="10">
                  <c:v>46034</c:v>
                </c:pt>
                <c:pt idx="11">
                  <c:v>46035</c:v>
                </c:pt>
                <c:pt idx="12">
                  <c:v>46036</c:v>
                </c:pt>
                <c:pt idx="13">
                  <c:v>46037</c:v>
                </c:pt>
                <c:pt idx="14">
                  <c:v>46038</c:v>
                </c:pt>
                <c:pt idx="15">
                  <c:v>46039</c:v>
                </c:pt>
                <c:pt idx="16">
                  <c:v>46040</c:v>
                </c:pt>
                <c:pt idx="17">
                  <c:v>46041</c:v>
                </c:pt>
                <c:pt idx="18">
                  <c:v>46042</c:v>
                </c:pt>
                <c:pt idx="19">
                  <c:v>46043</c:v>
                </c:pt>
                <c:pt idx="20">
                  <c:v>46044</c:v>
                </c:pt>
                <c:pt idx="21">
                  <c:v>46045</c:v>
                </c:pt>
                <c:pt idx="22">
                  <c:v>46046</c:v>
                </c:pt>
                <c:pt idx="23">
                  <c:v>46047</c:v>
                </c:pt>
                <c:pt idx="24">
                  <c:v>46048</c:v>
                </c:pt>
                <c:pt idx="25">
                  <c:v>46049</c:v>
                </c:pt>
                <c:pt idx="26">
                  <c:v>46050</c:v>
                </c:pt>
                <c:pt idx="27">
                  <c:v>46051</c:v>
                </c:pt>
                <c:pt idx="28">
                  <c:v>46052</c:v>
                </c:pt>
                <c:pt idx="29">
                  <c:v>46053</c:v>
                </c:pt>
                <c:pt idx="30">
                  <c:v>46054</c:v>
                </c:pt>
                <c:pt idx="31">
                  <c:v>46055</c:v>
                </c:pt>
                <c:pt idx="32">
                  <c:v>46056</c:v>
                </c:pt>
                <c:pt idx="33">
                  <c:v>46057</c:v>
                </c:pt>
                <c:pt idx="34">
                  <c:v>46058</c:v>
                </c:pt>
                <c:pt idx="35">
                  <c:v>46059</c:v>
                </c:pt>
                <c:pt idx="36">
                  <c:v>46060</c:v>
                </c:pt>
                <c:pt idx="37">
                  <c:v>46061</c:v>
                </c:pt>
                <c:pt idx="38">
                  <c:v>46062</c:v>
                </c:pt>
                <c:pt idx="39">
                  <c:v>46063</c:v>
                </c:pt>
                <c:pt idx="40">
                  <c:v>46064</c:v>
                </c:pt>
                <c:pt idx="41">
                  <c:v>46065</c:v>
                </c:pt>
                <c:pt idx="42">
                  <c:v>46066</c:v>
                </c:pt>
                <c:pt idx="43">
                  <c:v>46067</c:v>
                </c:pt>
                <c:pt idx="44">
                  <c:v>46068</c:v>
                </c:pt>
                <c:pt idx="45">
                  <c:v>46069</c:v>
                </c:pt>
                <c:pt idx="46">
                  <c:v>46070</c:v>
                </c:pt>
                <c:pt idx="47">
                  <c:v>46071</c:v>
                </c:pt>
                <c:pt idx="48">
                  <c:v>46072</c:v>
                </c:pt>
                <c:pt idx="49">
                  <c:v>46073</c:v>
                </c:pt>
                <c:pt idx="50">
                  <c:v>46074</c:v>
                </c:pt>
                <c:pt idx="51">
                  <c:v>46075</c:v>
                </c:pt>
                <c:pt idx="52">
                  <c:v>46076</c:v>
                </c:pt>
                <c:pt idx="53">
                  <c:v>46077</c:v>
                </c:pt>
                <c:pt idx="54">
                  <c:v>46078</c:v>
                </c:pt>
                <c:pt idx="55">
                  <c:v>46079</c:v>
                </c:pt>
                <c:pt idx="56">
                  <c:v>46080</c:v>
                </c:pt>
                <c:pt idx="57">
                  <c:v>46081</c:v>
                </c:pt>
                <c:pt idx="58">
                  <c:v>46082</c:v>
                </c:pt>
                <c:pt idx="59">
                  <c:v>46083</c:v>
                </c:pt>
                <c:pt idx="60">
                  <c:v>46084</c:v>
                </c:pt>
                <c:pt idx="61">
                  <c:v>46085</c:v>
                </c:pt>
                <c:pt idx="62">
                  <c:v>46086</c:v>
                </c:pt>
                <c:pt idx="63">
                  <c:v>46087</c:v>
                </c:pt>
                <c:pt idx="64">
                  <c:v>46088</c:v>
                </c:pt>
                <c:pt idx="65">
                  <c:v>46089</c:v>
                </c:pt>
                <c:pt idx="66">
                  <c:v>46090</c:v>
                </c:pt>
                <c:pt idx="67">
                  <c:v>46091</c:v>
                </c:pt>
                <c:pt idx="68">
                  <c:v>46092</c:v>
                </c:pt>
                <c:pt idx="69">
                  <c:v>46093</c:v>
                </c:pt>
                <c:pt idx="70">
                  <c:v>46094</c:v>
                </c:pt>
                <c:pt idx="71">
                  <c:v>46095</c:v>
                </c:pt>
                <c:pt idx="72">
                  <c:v>46096</c:v>
                </c:pt>
                <c:pt idx="73">
                  <c:v>46097</c:v>
                </c:pt>
                <c:pt idx="74">
                  <c:v>46098</c:v>
                </c:pt>
                <c:pt idx="75">
                  <c:v>46099</c:v>
                </c:pt>
                <c:pt idx="76">
                  <c:v>46100</c:v>
                </c:pt>
                <c:pt idx="77">
                  <c:v>46101</c:v>
                </c:pt>
              </c:numCache>
            </c:numRef>
          </c:cat>
          <c:val>
            <c:numRef>
              <c:f>'Previsión de Total venta'!$E$2:$E$79</c:f>
              <c:numCache>
                <c:formatCode>General</c:formatCode>
                <c:ptCount val="78"/>
                <c:pt idx="49" formatCode="&quot;$&quot;\ #,##0">
                  <c:v>1736000</c:v>
                </c:pt>
                <c:pt idx="50" formatCode="&quot;$&quot;\ #,##0">
                  <c:v>1654734.6544551887</c:v>
                </c:pt>
                <c:pt idx="51" formatCode="&quot;$&quot;\ #,##0">
                  <c:v>2227604.1644002008</c:v>
                </c:pt>
                <c:pt idx="52" formatCode="&quot;$&quot;\ #,##0">
                  <c:v>2180647.5895507545</c:v>
                </c:pt>
                <c:pt idx="53" formatCode="&quot;$&quot;\ #,##0">
                  <c:v>2098342.5157052497</c:v>
                </c:pt>
                <c:pt idx="54" formatCode="&quot;$&quot;\ #,##0">
                  <c:v>1745906.0273313313</c:v>
                </c:pt>
                <c:pt idx="55" formatCode="&quot;$&quot;\ #,##0">
                  <c:v>2318783.7947882698</c:v>
                </c:pt>
                <c:pt idx="56" formatCode="&quot;$&quot;\ #,##0">
                  <c:v>2271836.9954168806</c:v>
                </c:pt>
                <c:pt idx="57" formatCode="&quot;$&quot;\ #,##0">
                  <c:v>2189543.163542639</c:v>
                </c:pt>
                <c:pt idx="58" formatCode="&quot;$&quot;\ #,##0">
                  <c:v>1832277.4999531582</c:v>
                </c:pt>
                <c:pt idx="59" formatCode="&quot;$&quot;\ #,##0">
                  <c:v>2405168.2383933649</c:v>
                </c:pt>
                <c:pt idx="60" formatCode="&quot;$&quot;\ #,##0">
                  <c:v>2358235.6680752789</c:v>
                </c:pt>
                <c:pt idx="61" formatCode="&quot;$&quot;\ #,##0">
                  <c:v>2275957.2847727598</c:v>
                </c:pt>
                <c:pt idx="62" formatCode="&quot;$&quot;\ #,##0">
                  <c:v>1915067.0850990997</c:v>
                </c:pt>
                <c:pt idx="63" formatCode="&quot;$&quot;\ #,##0">
                  <c:v>2487974.5506976908</c:v>
                </c:pt>
                <c:pt idx="64" formatCode="&quot;$&quot;\ #,##0">
                  <c:v>2441059.7879935531</c:v>
                </c:pt>
                <c:pt idx="65" formatCode="&quot;$&quot;\ #,##0">
                  <c:v>2358800.262330831</c:v>
                </c:pt>
                <c:pt idx="66" formatCode="&quot;$&quot;\ #,##0">
                  <c:v>1995070.4976304339</c:v>
                </c:pt>
                <c:pt idx="67" formatCode="&quot;$&quot;\ #,##0">
                  <c:v>2567997.8278320096</c:v>
                </c:pt>
                <c:pt idx="68" formatCode="&quot;$&quot;\ #,##0">
                  <c:v>2521103.8800434051</c:v>
                </c:pt>
                <c:pt idx="69" formatCode="&quot;$&quot;\ #,##0">
                  <c:v>2438866.0946710501</c:v>
                </c:pt>
                <c:pt idx="70" formatCode="&quot;$&quot;\ #,##0">
                  <c:v>2072841.2852273583</c:v>
                </c:pt>
                <c:pt idx="71" formatCode="&quot;$&quot;\ #,##0">
                  <c:v>2645791.1823105393</c:v>
                </c:pt>
                <c:pt idx="72" formatCode="&quot;$&quot;\ #,##0">
                  <c:v>2598920.6514573451</c:v>
                </c:pt>
                <c:pt idx="73" formatCode="&quot;$&quot;\ #,##0">
                  <c:v>2516707.112052314</c:v>
                </c:pt>
                <c:pt idx="74" formatCode="&quot;$&quot;\ #,##0">
                  <c:v>2148782.8253999432</c:v>
                </c:pt>
                <c:pt idx="75" formatCode="&quot;$&quot;\ #,##0">
                  <c:v>2721757.6665076851</c:v>
                </c:pt>
                <c:pt idx="76" formatCode="&quot;$&quot;\ #,##0">
                  <c:v>2674912.8495284962</c:v>
                </c:pt>
                <c:pt idx="77" formatCode="&quot;$&quot;\ #,##0">
                  <c:v>2592725.7757321186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1-4873-8C50-7B0C59EE8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142832"/>
        <c:axId val="1862143312"/>
      </c:lineChart>
      <c:catAx>
        <c:axId val="186214283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2143312"/>
        <c:crosses val="autoZero"/>
        <c:auto val="1"/>
        <c:lblAlgn val="ctr"/>
        <c:lblOffset val="100"/>
        <c:noMultiLvlLbl val="0"/>
      </c:catAx>
      <c:valAx>
        <c:axId val="186214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21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346363</xdr:colOff>
      <xdr:row>19</xdr:row>
      <xdr:rowOff>55417</xdr:rowOff>
    </xdr:from>
    <xdr:to>
      <xdr:col>13</xdr:col>
      <xdr:colOff>69272</xdr:colOff>
      <xdr:row>34</xdr:row>
      <xdr:rowOff>96981</xdr:rowOff>
    </xdr:to>
    <xdr:graphicFrame macro="">
      <xdr:nvGraphicFramePr>
        <xdr:cNvPr id="3" name="Gráfico 2" descr="Tipo de gráfico: Barras agrupadas. &quot;Cantidad&quot; por &quot;Vendedor&quot; y &quot;Ventas superiores a $1.500.000&quot;&#10;&#10;Descripción generada automáticamente">
          <a:extLst>
            <a:ext uri="{FF2B5EF4-FFF2-40B4-BE49-F238E27FC236}">
              <a16:creationId xmlns:a16="http://schemas.microsoft.com/office/drawing/2014/main" id="{42EE6701-53E6-4DC9-9144-0BFF98E59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484909</xdr:colOff>
      <xdr:row>2</xdr:row>
      <xdr:rowOff>55418</xdr:rowOff>
    </xdr:from>
    <xdr:to>
      <xdr:col>13</xdr:col>
      <xdr:colOff>207818</xdr:colOff>
      <xdr:row>17</xdr:row>
      <xdr:rowOff>96981</xdr:rowOff>
    </xdr:to>
    <xdr:graphicFrame macro="">
      <xdr:nvGraphicFramePr>
        <xdr:cNvPr id="4" name="Gráfico 3" descr="Tipo de gráfico: Líneas. Total Venta aumenta con el tiempo.&#10;&#10;Descripción generada automáticamente">
          <a:extLst>
            <a:ext uri="{FF2B5EF4-FFF2-40B4-BE49-F238E27FC236}">
              <a16:creationId xmlns:a16="http://schemas.microsoft.com/office/drawing/2014/main" id="{FF25C370-7027-4DB6-AA9D-FEBB5E143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540327</xdr:colOff>
      <xdr:row>37</xdr:row>
      <xdr:rowOff>27710</xdr:rowOff>
    </xdr:from>
    <xdr:to>
      <xdr:col>4</xdr:col>
      <xdr:colOff>346363</xdr:colOff>
      <xdr:row>52</xdr:row>
      <xdr:rowOff>69273</xdr:rowOff>
    </xdr:to>
    <xdr:graphicFrame macro="">
      <xdr:nvGraphicFramePr>
        <xdr:cNvPr id="5" name="Gráfico 4" descr="Tipo de gráfico: Barras agrupadas. Para &quot;Sede: Bogotá&quot;, &quot;Producto&quot;: Cemento tiene un valor de &quot;Precio Unitario&quot; notablemente superior.&#10;&#10;Descripción generada automáticamente">
          <a:extLst>
            <a:ext uri="{FF2B5EF4-FFF2-40B4-BE49-F238E27FC236}">
              <a16:creationId xmlns:a16="http://schemas.microsoft.com/office/drawing/2014/main" id="{352C52B4-EFE2-4252-AF69-A946A377E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928255</xdr:colOff>
      <xdr:row>37</xdr:row>
      <xdr:rowOff>27710</xdr:rowOff>
    </xdr:from>
    <xdr:to>
      <xdr:col>8</xdr:col>
      <xdr:colOff>734292</xdr:colOff>
      <xdr:row>52</xdr:row>
      <xdr:rowOff>69273</xdr:rowOff>
    </xdr:to>
    <xdr:graphicFrame macro="">
      <xdr:nvGraphicFramePr>
        <xdr:cNvPr id="6" name="Gráfico 5" descr="Tipo de gráfico: Barras apiladas. Para &quot;Sede: Barranquilla&quot;, &quot;Producto&quot;: Cemento y Varilla tienen un valor de &quot;Precio Unitario&quot; notablemente superior.&#10;&#10;Descripción generada automáticamente">
          <a:extLst>
            <a:ext uri="{FF2B5EF4-FFF2-40B4-BE49-F238E27FC236}">
              <a16:creationId xmlns:a16="http://schemas.microsoft.com/office/drawing/2014/main" id="{0320964B-D3C5-4C15-A2E4-7D1439F61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526474</xdr:colOff>
      <xdr:row>37</xdr:row>
      <xdr:rowOff>13854</xdr:rowOff>
    </xdr:from>
    <xdr:to>
      <xdr:col>13</xdr:col>
      <xdr:colOff>249383</xdr:colOff>
      <xdr:row>52</xdr:row>
      <xdr:rowOff>55417</xdr:rowOff>
    </xdr:to>
    <xdr:graphicFrame macro="">
      <xdr:nvGraphicFramePr>
        <xdr:cNvPr id="7" name="Gráfico 6" descr="Tipo de gráfico: Barras agrupadas. Para &quot;Sede: Medellín&quot;, &quot;Producto&quot;: Varilla tiene un valor de &quot;Precio Unitario&quot; notablemente superior.&#10;&#10;Descripción generada automáticamente">
          <a:extLst>
            <a:ext uri="{FF2B5EF4-FFF2-40B4-BE49-F238E27FC236}">
              <a16:creationId xmlns:a16="http://schemas.microsoft.com/office/drawing/2014/main" id="{007F56BE-087A-4947-BFBA-520C12112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609600</xdr:colOff>
      <xdr:row>2</xdr:row>
      <xdr:rowOff>27709</xdr:rowOff>
    </xdr:from>
    <xdr:to>
      <xdr:col>16</xdr:col>
      <xdr:colOff>637309</xdr:colOff>
      <xdr:row>17</xdr:row>
      <xdr:rowOff>69272</xdr:rowOff>
    </xdr:to>
    <xdr:graphicFrame macro="">
      <xdr:nvGraphicFramePr>
        <xdr:cNvPr id="8" name="Gráfico 7" descr="Tipo de gráfico: Barras agrupadas. &quot;Total Venta&quot; por &quot;Sede&quot;&#10;&#10;Descripción generada automáticamente">
          <a:extLst>
            <a:ext uri="{FF2B5EF4-FFF2-40B4-BE49-F238E27FC236}">
              <a16:creationId xmlns:a16="http://schemas.microsoft.com/office/drawing/2014/main" id="{655BE1E0-E920-4A5D-B131-2B51A9E48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665018</xdr:colOff>
      <xdr:row>36</xdr:row>
      <xdr:rowOff>152400</xdr:rowOff>
    </xdr:from>
    <xdr:to>
      <xdr:col>16</xdr:col>
      <xdr:colOff>692727</xdr:colOff>
      <xdr:row>52</xdr:row>
      <xdr:rowOff>13854</xdr:rowOff>
    </xdr:to>
    <xdr:graphicFrame macro="">
      <xdr:nvGraphicFramePr>
        <xdr:cNvPr id="9" name="Gráfico 8" descr="Tipo de gráfico: Barras agrupadas. Para &quot;Sede: Medellín&quot;, &quot;Producto&quot;: Varilla tiene un valor de &quot;Precio Unitario&quot; notablemente superior.&#10;&#10;Descripción generada automáticamente">
          <a:extLst>
            <a:ext uri="{FF2B5EF4-FFF2-40B4-BE49-F238E27FC236}">
              <a16:creationId xmlns:a16="http://schemas.microsoft.com/office/drawing/2014/main" id="{6AEC3C33-70D3-4C91-8E6C-DEE1DD34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692727</xdr:colOff>
      <xdr:row>19</xdr:row>
      <xdr:rowOff>13854</xdr:rowOff>
    </xdr:from>
    <xdr:to>
      <xdr:col>16</xdr:col>
      <xdr:colOff>720436</xdr:colOff>
      <xdr:row>34</xdr:row>
      <xdr:rowOff>55418</xdr:rowOff>
    </xdr:to>
    <xdr:graphicFrame macro="">
      <xdr:nvGraphicFramePr>
        <xdr:cNvPr id="12" name="Gráfico 11" descr="Tipo de gráfico: Barras agrupadas. Para &quot;Sede: Cali&quot;, &quot;Producto&quot;: Grava tiene un valor de &quot;Total Venta&quot; notablemente superior.&#10;&#10;Descripción generada automáticamente">
          <a:extLst>
            <a:ext uri="{FF2B5EF4-FFF2-40B4-BE49-F238E27FC236}">
              <a16:creationId xmlns:a16="http://schemas.microsoft.com/office/drawing/2014/main" id="{0ED42DD3-A8D7-4A7E-A6F4-53B3F6386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526473</xdr:colOff>
      <xdr:row>53</xdr:row>
      <xdr:rowOff>83127</xdr:rowOff>
    </xdr:from>
    <xdr:to>
      <xdr:col>4</xdr:col>
      <xdr:colOff>332509</xdr:colOff>
      <xdr:row>68</xdr:row>
      <xdr:rowOff>124691</xdr:rowOff>
    </xdr:to>
    <xdr:graphicFrame macro="">
      <xdr:nvGraphicFramePr>
        <xdr:cNvPr id="13" name="Gráfico 12" descr="Tipo de gráfico: Anillo. Para &quot;Sede: Honda&quot;,&quot;Producto&quot;: Varilla representa la mayoría de &quot;Precio Unitario&quot;.&#10;&#10;Descripción generada automáticamente">
          <a:extLst>
            <a:ext uri="{FF2B5EF4-FFF2-40B4-BE49-F238E27FC236}">
              <a16:creationId xmlns:a16="http://schemas.microsoft.com/office/drawing/2014/main" id="{B2C9FA87-5D6A-4A89-9A49-072DF643A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6</xdr:row>
      <xdr:rowOff>41910</xdr:rowOff>
    </xdr:from>
    <xdr:to>
      <xdr:col>8</xdr:col>
      <xdr:colOff>489585</xdr:colOff>
      <xdr:row>26</xdr:row>
      <xdr:rowOff>51435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A61DEC-4E83-46E1-3078-D5750EDF4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_Díaz" refreshedDate="46065.010591087965" createdVersion="8" refreshedVersion="8" minRefreshableVersion="3" recordCount="49" xr:uid="{848E666B-8C1E-4093-A7AA-4CFA3D1B7915}">
  <cacheSource type="worksheet">
    <worksheetSource ref="B2:I51" sheet="Datos"/>
  </cacheSource>
  <cacheFields count="10">
    <cacheField name="Fecha" numFmtId="14">
      <sharedItems containsSemiMixedTypes="0" containsNonDate="0" containsDate="1" containsString="0" minDate="2026-01-02T00:00:00" maxDate="2026-02-21T00:00:00" count="49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  <fieldGroup par="9"/>
    </cacheField>
    <cacheField name="Vendedor" numFmtId="0">
      <sharedItems count="5">
        <s v=" Carlos "/>
        <s v=" Ana "/>
        <s v=" Luis "/>
        <s v=" Marta "/>
        <s v=" Pedro "/>
      </sharedItems>
    </cacheField>
    <cacheField name="Producto" numFmtId="0">
      <sharedItems count="4">
        <s v=" Cemento "/>
        <s v=" Varilla "/>
        <s v=" Grava "/>
        <s v=" Arena "/>
      </sharedItems>
    </cacheField>
    <cacheField name="Cantidad" numFmtId="0">
      <sharedItems containsSemiMixedTypes="0" containsString="0" containsNumber="1" containsInteger="1" minValue="20" maxValue="130"/>
    </cacheField>
    <cacheField name="Precio Unitario" numFmtId="165">
      <sharedItems containsSemiMixedTypes="0" containsString="0" containsNumber="1" containsInteger="1" minValue="15000" maxValue="35000"/>
    </cacheField>
    <cacheField name="Total Venta" numFmtId="165">
      <sharedItems containsSemiMixedTypes="0" containsString="0" containsNumber="1" containsInteger="1" minValue="700000" maxValue="1950000"/>
    </cacheField>
    <cacheField name="Sede" numFmtId="0">
      <sharedItems count="6">
        <s v=" Bogotá"/>
        <s v=" Medellín"/>
        <s v=" Cali"/>
        <s v=" Bucaramanga"/>
        <s v=" Barranquilla"/>
        <s v="Honda"/>
      </sharedItems>
    </cacheField>
    <cacheField name="Ventas superiores a $1.500.000" numFmtId="0">
      <sharedItems/>
    </cacheField>
    <cacheField name="Días (Fecha)" numFmtId="0" databaseField="0">
      <fieldGroup base="0">
        <rangePr groupBy="days" startDate="2026-01-02T00:00:00" endDate="2026-02-21T00:00:00"/>
        <groupItems count="368">
          <s v="&lt;2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/02/2026"/>
        </groupItems>
      </fieldGroup>
    </cacheField>
    <cacheField name="Meses (Fecha)" numFmtId="0" databaseField="0">
      <fieldGroup base="0">
        <rangePr groupBy="months" startDate="2026-01-02T00:00:00" endDate="2026-02-21T00:00:00"/>
        <groupItems count="14">
          <s v="&lt;2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02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n v="40"/>
    <n v="28000"/>
    <n v="1120000"/>
    <x v="0"/>
    <s v="Venta Normal"/>
  </r>
  <r>
    <x v="1"/>
    <x v="1"/>
    <x v="1"/>
    <n v="25"/>
    <n v="35000"/>
    <n v="875000"/>
    <x v="1"/>
    <s v="Venta Normal"/>
  </r>
  <r>
    <x v="2"/>
    <x v="2"/>
    <x v="2"/>
    <n v="72"/>
    <n v="20000"/>
    <n v="1440000"/>
    <x v="2"/>
    <s v="Venta Normal"/>
  </r>
  <r>
    <x v="3"/>
    <x v="3"/>
    <x v="3"/>
    <n v="60"/>
    <n v="15000"/>
    <n v="900000"/>
    <x v="3"/>
    <s v="Venta Normal"/>
  </r>
  <r>
    <x v="4"/>
    <x v="4"/>
    <x v="0"/>
    <n v="35"/>
    <n v="28000"/>
    <n v="980000"/>
    <x v="4"/>
    <s v="Venta Normal"/>
  </r>
  <r>
    <x v="5"/>
    <x v="0"/>
    <x v="1"/>
    <n v="20"/>
    <n v="35000"/>
    <n v="700000"/>
    <x v="0"/>
    <s v="Venta Normal"/>
  </r>
  <r>
    <x v="6"/>
    <x v="1"/>
    <x v="3"/>
    <n v="110"/>
    <n v="15000"/>
    <n v="1650000"/>
    <x v="1"/>
    <s v="Venta Alta"/>
  </r>
  <r>
    <x v="7"/>
    <x v="2"/>
    <x v="2"/>
    <n v="75"/>
    <n v="20000"/>
    <n v="1500000"/>
    <x v="2"/>
    <s v="Venta Normal"/>
  </r>
  <r>
    <x v="8"/>
    <x v="3"/>
    <x v="0"/>
    <n v="50"/>
    <n v="28000"/>
    <n v="1400000"/>
    <x v="3"/>
    <s v="Venta Normal"/>
  </r>
  <r>
    <x v="9"/>
    <x v="4"/>
    <x v="1"/>
    <n v="28"/>
    <n v="35000"/>
    <n v="980000"/>
    <x v="4"/>
    <s v="Venta Normal"/>
  </r>
  <r>
    <x v="10"/>
    <x v="0"/>
    <x v="3"/>
    <n v="95"/>
    <n v="15000"/>
    <n v="1425000"/>
    <x v="5"/>
    <s v="Venta Normal"/>
  </r>
  <r>
    <x v="11"/>
    <x v="1"/>
    <x v="2"/>
    <n v="70"/>
    <n v="20000"/>
    <n v="1400000"/>
    <x v="1"/>
    <s v="Venta Normal"/>
  </r>
  <r>
    <x v="12"/>
    <x v="2"/>
    <x v="0"/>
    <n v="45"/>
    <n v="28000"/>
    <n v="1260000"/>
    <x v="2"/>
    <s v="Venta Normal"/>
  </r>
  <r>
    <x v="13"/>
    <x v="3"/>
    <x v="1"/>
    <n v="30"/>
    <n v="35000"/>
    <n v="1050000"/>
    <x v="3"/>
    <s v="Venta Normal"/>
  </r>
  <r>
    <x v="14"/>
    <x v="4"/>
    <x v="3"/>
    <n v="85"/>
    <n v="15000"/>
    <n v="1275000"/>
    <x v="4"/>
    <s v="Venta Normal"/>
  </r>
  <r>
    <x v="15"/>
    <x v="0"/>
    <x v="2"/>
    <n v="65"/>
    <n v="20000"/>
    <n v="1300000"/>
    <x v="0"/>
    <s v="Venta Normal"/>
  </r>
  <r>
    <x v="16"/>
    <x v="1"/>
    <x v="0"/>
    <n v="55"/>
    <n v="28000"/>
    <n v="1540000"/>
    <x v="1"/>
    <s v="Venta Alta"/>
  </r>
  <r>
    <x v="17"/>
    <x v="2"/>
    <x v="1"/>
    <n v="22"/>
    <n v="35000"/>
    <n v="770000"/>
    <x v="2"/>
    <s v="Venta Normal"/>
  </r>
  <r>
    <x v="18"/>
    <x v="3"/>
    <x v="3"/>
    <n v="120"/>
    <n v="15000"/>
    <n v="1800000"/>
    <x v="3"/>
    <s v="Venta Alta"/>
  </r>
  <r>
    <x v="19"/>
    <x v="4"/>
    <x v="2"/>
    <n v="80"/>
    <n v="20000"/>
    <n v="1600000"/>
    <x v="4"/>
    <s v="Venta Alta"/>
  </r>
  <r>
    <x v="20"/>
    <x v="0"/>
    <x v="0"/>
    <n v="60"/>
    <n v="28000"/>
    <n v="1680000"/>
    <x v="0"/>
    <s v="Venta Alta"/>
  </r>
  <r>
    <x v="21"/>
    <x v="1"/>
    <x v="1"/>
    <n v="27"/>
    <n v="35000"/>
    <n v="945000"/>
    <x v="1"/>
    <s v="Venta Normal"/>
  </r>
  <r>
    <x v="22"/>
    <x v="2"/>
    <x v="3"/>
    <n v="100"/>
    <n v="15000"/>
    <n v="1500000"/>
    <x v="2"/>
    <s v="Venta Normal"/>
  </r>
  <r>
    <x v="23"/>
    <x v="3"/>
    <x v="2"/>
    <n v="90"/>
    <n v="20000"/>
    <n v="1800000"/>
    <x v="3"/>
    <s v="Venta Alta"/>
  </r>
  <r>
    <x v="24"/>
    <x v="4"/>
    <x v="0"/>
    <n v="38"/>
    <n v="28000"/>
    <n v="1064000"/>
    <x v="4"/>
    <s v="Venta Normal"/>
  </r>
  <r>
    <x v="25"/>
    <x v="0"/>
    <x v="1"/>
    <n v="35"/>
    <n v="35000"/>
    <n v="1225000"/>
    <x v="5"/>
    <s v="Venta Normal"/>
  </r>
  <r>
    <x v="26"/>
    <x v="1"/>
    <x v="3"/>
    <n v="105"/>
    <n v="15000"/>
    <n v="1575000"/>
    <x v="1"/>
    <s v="Venta Alta"/>
  </r>
  <r>
    <x v="27"/>
    <x v="2"/>
    <x v="2"/>
    <n v="79"/>
    <n v="20000"/>
    <n v="1580000"/>
    <x v="2"/>
    <s v="Venta Alta"/>
  </r>
  <r>
    <x v="28"/>
    <x v="3"/>
    <x v="0"/>
    <n v="48"/>
    <n v="28000"/>
    <n v="1344000"/>
    <x v="3"/>
    <s v="Venta Normal"/>
  </r>
  <r>
    <x v="29"/>
    <x v="4"/>
    <x v="1"/>
    <n v="26"/>
    <n v="35000"/>
    <n v="910000"/>
    <x v="4"/>
    <s v="Venta Normal"/>
  </r>
  <r>
    <x v="30"/>
    <x v="0"/>
    <x v="3"/>
    <n v="115"/>
    <n v="15000"/>
    <n v="1725000"/>
    <x v="0"/>
    <s v="Venta Alta"/>
  </r>
  <r>
    <x v="31"/>
    <x v="1"/>
    <x v="2"/>
    <n v="88"/>
    <n v="20000"/>
    <n v="1760000"/>
    <x v="1"/>
    <s v="Venta Alta"/>
  </r>
  <r>
    <x v="32"/>
    <x v="2"/>
    <x v="0"/>
    <n v="52"/>
    <n v="28000"/>
    <n v="1456000"/>
    <x v="2"/>
    <s v="Venta Normal"/>
  </r>
  <r>
    <x v="33"/>
    <x v="3"/>
    <x v="1"/>
    <n v="29"/>
    <n v="35000"/>
    <n v="1015000"/>
    <x v="3"/>
    <s v="Venta Normal"/>
  </r>
  <r>
    <x v="34"/>
    <x v="4"/>
    <x v="3"/>
    <n v="98"/>
    <n v="15000"/>
    <n v="1470000"/>
    <x v="4"/>
    <s v="Venta Normal"/>
  </r>
  <r>
    <x v="35"/>
    <x v="0"/>
    <x v="2"/>
    <n v="77"/>
    <n v="20000"/>
    <n v="1540000"/>
    <x v="0"/>
    <s v="Venta Alta"/>
  </r>
  <r>
    <x v="36"/>
    <x v="1"/>
    <x v="0"/>
    <n v="43"/>
    <n v="28000"/>
    <n v="1204000"/>
    <x v="1"/>
    <s v="Venta Normal"/>
  </r>
  <r>
    <x v="37"/>
    <x v="2"/>
    <x v="1"/>
    <n v="24"/>
    <n v="35000"/>
    <n v="840000"/>
    <x v="2"/>
    <s v="Venta Normal"/>
  </r>
  <r>
    <x v="38"/>
    <x v="3"/>
    <x v="3"/>
    <n v="130"/>
    <n v="15000"/>
    <n v="1950000"/>
    <x v="3"/>
    <s v="Venta Alta"/>
  </r>
  <r>
    <x v="39"/>
    <x v="4"/>
    <x v="2"/>
    <n v="92"/>
    <n v="20000"/>
    <n v="1840000"/>
    <x v="4"/>
    <s v="Venta Alta"/>
  </r>
  <r>
    <x v="40"/>
    <x v="0"/>
    <x v="0"/>
    <n v="58"/>
    <n v="28000"/>
    <n v="1624000"/>
    <x v="0"/>
    <s v="Venta Alta"/>
  </r>
  <r>
    <x v="41"/>
    <x v="1"/>
    <x v="1"/>
    <n v="33"/>
    <n v="35000"/>
    <n v="1155000"/>
    <x v="1"/>
    <s v="Venta Normal"/>
  </r>
  <r>
    <x v="42"/>
    <x v="2"/>
    <x v="3"/>
    <n v="108"/>
    <n v="15000"/>
    <n v="1620000"/>
    <x v="2"/>
    <s v="Venta Alta"/>
  </r>
  <r>
    <x v="43"/>
    <x v="3"/>
    <x v="2"/>
    <n v="85"/>
    <n v="20000"/>
    <n v="1700000"/>
    <x v="3"/>
    <s v="Venta Alta"/>
  </r>
  <r>
    <x v="44"/>
    <x v="4"/>
    <x v="0"/>
    <n v="47"/>
    <n v="28000"/>
    <n v="1316000"/>
    <x v="4"/>
    <s v="Venta Normal"/>
  </r>
  <r>
    <x v="45"/>
    <x v="0"/>
    <x v="1"/>
    <n v="33"/>
    <n v="35000"/>
    <n v="1155000"/>
    <x v="5"/>
    <s v="Venta Normal"/>
  </r>
  <r>
    <x v="46"/>
    <x v="1"/>
    <x v="3"/>
    <n v="112"/>
    <n v="15000"/>
    <n v="1680000"/>
    <x v="1"/>
    <s v="Venta Alta"/>
  </r>
  <r>
    <x v="47"/>
    <x v="2"/>
    <x v="2"/>
    <n v="79"/>
    <n v="20000"/>
    <n v="1580000"/>
    <x v="2"/>
    <s v="Venta Alta"/>
  </r>
  <r>
    <x v="48"/>
    <x v="3"/>
    <x v="0"/>
    <n v="62"/>
    <n v="28000"/>
    <n v="1736000"/>
    <x v="3"/>
    <s v="Venta Al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24AFD-7409-4BEC-AFF1-86ACA7BD98CB}" name="Tabla dinámica1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H30" firstHeaderRow="1" firstDataRow="2" firstDataCol="2"/>
  <pivotFields count="10">
    <pivotField compact="0" numFmtId="14" outline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Col" compact="0" outline="0" showAll="0" sortType="descending">
      <items count="6">
        <item x="1"/>
        <item x="0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5" outline="0" showAll="0"/>
    <pivotField compact="0" numFmtId="165" outline="0" showAll="0"/>
    <pivotField axis="axisRow" compact="0" outline="0" showAll="0">
      <items count="7">
        <item x="4"/>
        <item x="0"/>
        <item x="3"/>
        <item x="2"/>
        <item x="1"/>
        <item x="5"/>
        <item t="default"/>
      </items>
    </pivotField>
    <pivotField compact="0" outline="0" showAll="0"/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6"/>
  </rowFields>
  <rowItems count="27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 t="grand">
      <x/>
    </i>
  </rowItems>
  <colFields count="1">
    <field x="1"/>
  </colFields>
  <colItems count="6">
    <i>
      <x v="3"/>
    </i>
    <i>
      <x/>
    </i>
    <i>
      <x v="2"/>
    </i>
    <i>
      <x v="1"/>
    </i>
    <i>
      <x v="4"/>
    </i>
    <i t="grand">
      <x/>
    </i>
  </colItems>
  <dataFields count="1">
    <dataField name="Promedio de Cantidad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879F6-FD09-462C-A2B2-EE4C2DE678CD}" name="Tabla2" displayName="Tabla2" ref="A1:E79" totalsRowShown="0">
  <autoFilter ref="A1:E79" xr:uid="{E2D879F6-FD09-462C-A2B2-EE4C2DE678CD}"/>
  <tableColumns count="5">
    <tableColumn id="1" xr3:uid="{4A1D8B72-42B5-47E3-86CC-F384D28B26BB}" name="Fecha" dataDxfId="3"/>
    <tableColumn id="2" xr3:uid="{82D4ECBE-9BB5-4A7E-9BB3-283E7BD897FE}" name="Total Venta"/>
    <tableColumn id="3" xr3:uid="{29C1DDB8-C211-4864-B00E-417EA102F7C7}" name="Previsión(Total Venta)" dataDxfId="2">
      <calculatedColumnFormula>_xlfn.FORECAST.ETS(A2,$B$2:$B$51,$A$2:$A$51,1,1)</calculatedColumnFormula>
    </tableColumn>
    <tableColumn id="4" xr3:uid="{FECAE3C0-817B-4525-B8F0-6123CCD3B5DD}" name="Límite de confianza inferior(Total Venta)" dataDxfId="1">
      <calculatedColumnFormula>C2-_xlfn.FORECAST.ETS.CONFINT(A2,$B$2:$B$51,$A$2:$A$51,0.95,1,1)</calculatedColumnFormula>
    </tableColumn>
    <tableColumn id="5" xr3:uid="{CAE657B7-A616-436D-ADA2-BBE106769FA1}" name="Límite de confianza superior(Total Venta)" dataDxfId="0">
      <calculatedColumnFormula>C2+_xlfn.FORECAST.ETS.CONFINT(A2,$B$2:$B$51,$A$2:$A$51,0.95,1,1)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7DAF-C736-40B8-847A-F8F9CC450E79}">
  <dimension ref="B2:K51"/>
  <sheetViews>
    <sheetView tabSelected="1" topLeftCell="A2" workbookViewId="0">
      <selection activeCell="F23" sqref="F23"/>
    </sheetView>
  </sheetViews>
  <sheetFormatPr baseColWidth="10" defaultRowHeight="14.4" x14ac:dyDescent="0.3"/>
  <cols>
    <col min="1" max="5" width="11.5546875" style="2"/>
    <col min="6" max="6" width="15.88671875" style="2" customWidth="1"/>
    <col min="7" max="7" width="13" style="2" bestFit="1" customWidth="1"/>
    <col min="8" max="8" width="14.5546875" style="2" customWidth="1"/>
    <col min="9" max="9" width="29.21875" style="2" customWidth="1"/>
    <col min="10" max="10" width="11.5546875" style="2"/>
    <col min="11" max="11" width="28.44140625" style="2" customWidth="1"/>
    <col min="12" max="16384" width="11.5546875" style="2"/>
  </cols>
  <sheetData>
    <row r="2" spans="2:11" x14ac:dyDescent="0.3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22</v>
      </c>
      <c r="I2" s="7" t="s">
        <v>24</v>
      </c>
    </row>
    <row r="3" spans="2:11" x14ac:dyDescent="0.3">
      <c r="B3" s="8">
        <v>46024</v>
      </c>
      <c r="C3" s="9" t="s">
        <v>8</v>
      </c>
      <c r="D3" s="9" t="s">
        <v>9</v>
      </c>
      <c r="E3" s="9">
        <v>40</v>
      </c>
      <c r="F3" s="10">
        <v>28000</v>
      </c>
      <c r="G3" s="10">
        <f>E3*F3</f>
        <v>1120000</v>
      </c>
      <c r="H3" s="9" t="s">
        <v>10</v>
      </c>
      <c r="I3" s="9" t="str">
        <f>IF(G3&gt;1500000,"Venta Alta","Venta Normal")</f>
        <v>Venta Normal</v>
      </c>
      <c r="K3" s="1" t="s">
        <v>7</v>
      </c>
    </row>
    <row r="4" spans="2:11" x14ac:dyDescent="0.3">
      <c r="B4" s="8">
        <v>46025</v>
      </c>
      <c r="C4" s="9" t="s">
        <v>11</v>
      </c>
      <c r="D4" s="9" t="s">
        <v>12</v>
      </c>
      <c r="E4" s="9">
        <v>25</v>
      </c>
      <c r="F4" s="10">
        <v>35000</v>
      </c>
      <c r="G4" s="10">
        <f t="shared" ref="G4:G51" si="0">E4*F4</f>
        <v>875000</v>
      </c>
      <c r="H4" s="9" t="s">
        <v>13</v>
      </c>
      <c r="I4" s="9" t="str">
        <f t="shared" ref="I4:I51" si="1">IF(G4&gt;1500000,"Venta Alta","Venta Normal")</f>
        <v>Venta Normal</v>
      </c>
      <c r="K4" s="2">
        <f>SUMIF(B3:B51,"&lt;=2026-01-31",G3:G51)-(SUMIF(B3:B51,"&lt;2026-01-01",G3:G51))</f>
        <v>37678000</v>
      </c>
    </row>
    <row r="5" spans="2:11" x14ac:dyDescent="0.3">
      <c r="B5" s="8">
        <v>46026</v>
      </c>
      <c r="C5" s="9" t="s">
        <v>14</v>
      </c>
      <c r="D5" s="9" t="s">
        <v>18</v>
      </c>
      <c r="E5" s="9">
        <v>72</v>
      </c>
      <c r="F5" s="10">
        <v>20000</v>
      </c>
      <c r="G5" s="10">
        <f t="shared" si="0"/>
        <v>1440000</v>
      </c>
      <c r="H5" s="9" t="s">
        <v>16</v>
      </c>
      <c r="I5" s="9" t="str">
        <f t="shared" si="1"/>
        <v>Venta Normal</v>
      </c>
    </row>
    <row r="6" spans="2:11" x14ac:dyDescent="0.3">
      <c r="B6" s="8">
        <v>46027</v>
      </c>
      <c r="C6" s="9" t="s">
        <v>17</v>
      </c>
      <c r="D6" s="9" t="s">
        <v>15</v>
      </c>
      <c r="E6" s="9">
        <v>60</v>
      </c>
      <c r="F6" s="10">
        <v>15000</v>
      </c>
      <c r="G6" s="10">
        <f t="shared" si="0"/>
        <v>900000</v>
      </c>
      <c r="H6" s="9" t="s">
        <v>19</v>
      </c>
      <c r="I6" s="9" t="str">
        <f t="shared" si="1"/>
        <v>Venta Normal</v>
      </c>
      <c r="K6" s="1" t="s">
        <v>6</v>
      </c>
    </row>
    <row r="7" spans="2:11" x14ac:dyDescent="0.3">
      <c r="B7" s="8">
        <v>46028</v>
      </c>
      <c r="C7" s="9" t="s">
        <v>20</v>
      </c>
      <c r="D7" s="9" t="s">
        <v>9</v>
      </c>
      <c r="E7" s="9">
        <v>35</v>
      </c>
      <c r="F7" s="10">
        <v>28000</v>
      </c>
      <c r="G7" s="10">
        <f t="shared" si="0"/>
        <v>980000</v>
      </c>
      <c r="H7" s="9" t="s">
        <v>21</v>
      </c>
      <c r="I7" s="9" t="str">
        <f t="shared" si="1"/>
        <v>Venta Normal</v>
      </c>
      <c r="K7" s="5">
        <f>SUMIF(C3:C51,"*Carlos*",G3:G51)</f>
        <v>13494000</v>
      </c>
    </row>
    <row r="8" spans="2:11" x14ac:dyDescent="0.3">
      <c r="B8" s="8">
        <v>46029</v>
      </c>
      <c r="C8" s="9" t="s">
        <v>8</v>
      </c>
      <c r="D8" s="9" t="s">
        <v>12</v>
      </c>
      <c r="E8" s="9">
        <v>20</v>
      </c>
      <c r="F8" s="10">
        <v>35000</v>
      </c>
      <c r="G8" s="10">
        <f t="shared" si="0"/>
        <v>700000</v>
      </c>
      <c r="H8" s="9" t="s">
        <v>10</v>
      </c>
      <c r="I8" s="9" t="str">
        <f t="shared" si="1"/>
        <v>Venta Normal</v>
      </c>
    </row>
    <row r="9" spans="2:11" x14ac:dyDescent="0.3">
      <c r="B9" s="8">
        <v>46030</v>
      </c>
      <c r="C9" s="9" t="s">
        <v>11</v>
      </c>
      <c r="D9" s="9" t="s">
        <v>15</v>
      </c>
      <c r="E9" s="9">
        <v>110</v>
      </c>
      <c r="F9" s="10">
        <v>15000</v>
      </c>
      <c r="G9" s="10">
        <f t="shared" si="0"/>
        <v>1650000</v>
      </c>
      <c r="H9" s="9" t="s">
        <v>13</v>
      </c>
      <c r="I9" s="9" t="str">
        <f t="shared" si="1"/>
        <v>Venta Alta</v>
      </c>
      <c r="K9" s="3" t="s">
        <v>23</v>
      </c>
    </row>
    <row r="10" spans="2:11" x14ac:dyDescent="0.3">
      <c r="B10" s="8">
        <v>46031</v>
      </c>
      <c r="C10" s="9" t="s">
        <v>14</v>
      </c>
      <c r="D10" s="9" t="s">
        <v>18</v>
      </c>
      <c r="E10" s="9">
        <v>75</v>
      </c>
      <c r="F10" s="10">
        <v>20000</v>
      </c>
      <c r="G10" s="10">
        <f t="shared" si="0"/>
        <v>1500000</v>
      </c>
      <c r="H10" s="9" t="s">
        <v>16</v>
      </c>
      <c r="I10" s="9" t="str">
        <f t="shared" si="1"/>
        <v>Venta Normal</v>
      </c>
      <c r="K10" s="5">
        <f>AVERAGE(G3:G51)</f>
        <v>1366408.163265306</v>
      </c>
    </row>
    <row r="11" spans="2:11" x14ac:dyDescent="0.3">
      <c r="B11" s="8">
        <v>46032</v>
      </c>
      <c r="C11" s="9" t="s">
        <v>17</v>
      </c>
      <c r="D11" s="9" t="s">
        <v>9</v>
      </c>
      <c r="E11" s="9">
        <v>50</v>
      </c>
      <c r="F11" s="10">
        <v>28000</v>
      </c>
      <c r="G11" s="10">
        <f t="shared" si="0"/>
        <v>1400000</v>
      </c>
      <c r="H11" s="9" t="s">
        <v>19</v>
      </c>
      <c r="I11" s="9" t="str">
        <f t="shared" si="1"/>
        <v>Venta Normal</v>
      </c>
    </row>
    <row r="12" spans="2:11" x14ac:dyDescent="0.3">
      <c r="B12" s="8">
        <v>46033</v>
      </c>
      <c r="C12" s="9" t="s">
        <v>20</v>
      </c>
      <c r="D12" s="9" t="s">
        <v>12</v>
      </c>
      <c r="E12" s="9">
        <v>28</v>
      </c>
      <c r="F12" s="10">
        <v>35000</v>
      </c>
      <c r="G12" s="10">
        <f t="shared" si="0"/>
        <v>980000</v>
      </c>
      <c r="H12" s="9" t="s">
        <v>21</v>
      </c>
      <c r="I12" s="9" t="str">
        <f t="shared" si="1"/>
        <v>Venta Normal</v>
      </c>
      <c r="K12" s="3" t="s">
        <v>25</v>
      </c>
    </row>
    <row r="13" spans="2:11" x14ac:dyDescent="0.3">
      <c r="B13" s="8">
        <v>46034</v>
      </c>
      <c r="C13" s="9" t="s">
        <v>8</v>
      </c>
      <c r="D13" s="9" t="s">
        <v>15</v>
      </c>
      <c r="E13" s="9">
        <v>95</v>
      </c>
      <c r="F13" s="10">
        <v>15000</v>
      </c>
      <c r="G13" s="10">
        <f t="shared" si="0"/>
        <v>1425000</v>
      </c>
      <c r="H13" s="9" t="s">
        <v>26</v>
      </c>
      <c r="I13" s="9" t="str">
        <f t="shared" si="1"/>
        <v>Venta Normal</v>
      </c>
      <c r="K13" s="4">
        <f>SUMIFS(G3:G51,C3:C51,"*Carlos*",H3:H51,"*Bogotá*")</f>
        <v>9689000</v>
      </c>
    </row>
    <row r="14" spans="2:11" x14ac:dyDescent="0.3">
      <c r="B14" s="8">
        <v>46035</v>
      </c>
      <c r="C14" s="9" t="s">
        <v>11</v>
      </c>
      <c r="D14" s="9" t="s">
        <v>18</v>
      </c>
      <c r="E14" s="9">
        <v>70</v>
      </c>
      <c r="F14" s="10">
        <v>20000</v>
      </c>
      <c r="G14" s="10">
        <f t="shared" si="0"/>
        <v>1400000</v>
      </c>
      <c r="H14" s="9" t="s">
        <v>13</v>
      </c>
      <c r="I14" s="9" t="str">
        <f t="shared" si="1"/>
        <v>Venta Normal</v>
      </c>
    </row>
    <row r="15" spans="2:11" x14ac:dyDescent="0.3">
      <c r="B15" s="8">
        <v>46036</v>
      </c>
      <c r="C15" s="9" t="s">
        <v>14</v>
      </c>
      <c r="D15" s="9" t="s">
        <v>9</v>
      </c>
      <c r="E15" s="9">
        <v>45</v>
      </c>
      <c r="F15" s="10">
        <v>28000</v>
      </c>
      <c r="G15" s="10">
        <f t="shared" si="0"/>
        <v>1260000</v>
      </c>
      <c r="H15" s="9" t="s">
        <v>16</v>
      </c>
      <c r="I15" s="9" t="str">
        <f t="shared" si="1"/>
        <v>Venta Normal</v>
      </c>
      <c r="K15" s="5"/>
    </row>
    <row r="16" spans="2:11" x14ac:dyDescent="0.3">
      <c r="B16" s="8">
        <v>46037</v>
      </c>
      <c r="C16" s="9" t="s">
        <v>17</v>
      </c>
      <c r="D16" s="9" t="s">
        <v>12</v>
      </c>
      <c r="E16" s="9">
        <v>30</v>
      </c>
      <c r="F16" s="10">
        <v>35000</v>
      </c>
      <c r="G16" s="10">
        <f t="shared" si="0"/>
        <v>1050000</v>
      </c>
      <c r="H16" s="9" t="s">
        <v>19</v>
      </c>
      <c r="I16" s="9" t="str">
        <f t="shared" si="1"/>
        <v>Venta Normal</v>
      </c>
    </row>
    <row r="17" spans="2:9" x14ac:dyDescent="0.3">
      <c r="B17" s="8">
        <v>46038</v>
      </c>
      <c r="C17" s="9" t="s">
        <v>20</v>
      </c>
      <c r="D17" s="9" t="s">
        <v>15</v>
      </c>
      <c r="E17" s="9">
        <v>85</v>
      </c>
      <c r="F17" s="10">
        <v>15000</v>
      </c>
      <c r="G17" s="10">
        <f t="shared" si="0"/>
        <v>1275000</v>
      </c>
      <c r="H17" s="9" t="s">
        <v>21</v>
      </c>
      <c r="I17" s="9" t="str">
        <f t="shared" si="1"/>
        <v>Venta Normal</v>
      </c>
    </row>
    <row r="18" spans="2:9" x14ac:dyDescent="0.3">
      <c r="B18" s="8">
        <v>46039</v>
      </c>
      <c r="C18" s="9" t="s">
        <v>8</v>
      </c>
      <c r="D18" s="9" t="s">
        <v>18</v>
      </c>
      <c r="E18" s="9">
        <v>65</v>
      </c>
      <c r="F18" s="10">
        <v>20000</v>
      </c>
      <c r="G18" s="10">
        <f t="shared" si="0"/>
        <v>1300000</v>
      </c>
      <c r="H18" s="9" t="s">
        <v>10</v>
      </c>
      <c r="I18" s="9" t="str">
        <f t="shared" si="1"/>
        <v>Venta Normal</v>
      </c>
    </row>
    <row r="19" spans="2:9" x14ac:dyDescent="0.3">
      <c r="B19" s="8">
        <v>46040</v>
      </c>
      <c r="C19" s="9" t="s">
        <v>11</v>
      </c>
      <c r="D19" s="9" t="s">
        <v>9</v>
      </c>
      <c r="E19" s="9">
        <v>55</v>
      </c>
      <c r="F19" s="10">
        <v>28000</v>
      </c>
      <c r="G19" s="10">
        <f t="shared" si="0"/>
        <v>1540000</v>
      </c>
      <c r="H19" s="9" t="s">
        <v>13</v>
      </c>
      <c r="I19" s="9" t="str">
        <f t="shared" si="1"/>
        <v>Venta Alta</v>
      </c>
    </row>
    <row r="20" spans="2:9" x14ac:dyDescent="0.3">
      <c r="B20" s="8">
        <v>46041</v>
      </c>
      <c r="C20" s="9" t="s">
        <v>14</v>
      </c>
      <c r="D20" s="9" t="s">
        <v>12</v>
      </c>
      <c r="E20" s="9">
        <v>22</v>
      </c>
      <c r="F20" s="10">
        <v>35000</v>
      </c>
      <c r="G20" s="10">
        <f t="shared" si="0"/>
        <v>770000</v>
      </c>
      <c r="H20" s="9" t="s">
        <v>16</v>
      </c>
      <c r="I20" s="9" t="str">
        <f t="shared" si="1"/>
        <v>Venta Normal</v>
      </c>
    </row>
    <row r="21" spans="2:9" x14ac:dyDescent="0.3">
      <c r="B21" s="8">
        <v>46042</v>
      </c>
      <c r="C21" s="9" t="s">
        <v>17</v>
      </c>
      <c r="D21" s="9" t="s">
        <v>15</v>
      </c>
      <c r="E21" s="9">
        <v>120</v>
      </c>
      <c r="F21" s="10">
        <v>15000</v>
      </c>
      <c r="G21" s="10">
        <f t="shared" si="0"/>
        <v>1800000</v>
      </c>
      <c r="H21" s="9" t="s">
        <v>19</v>
      </c>
      <c r="I21" s="9" t="str">
        <f t="shared" si="1"/>
        <v>Venta Alta</v>
      </c>
    </row>
    <row r="22" spans="2:9" x14ac:dyDescent="0.3">
      <c r="B22" s="8">
        <v>46043</v>
      </c>
      <c r="C22" s="9" t="s">
        <v>20</v>
      </c>
      <c r="D22" s="9" t="s">
        <v>18</v>
      </c>
      <c r="E22" s="9">
        <v>80</v>
      </c>
      <c r="F22" s="10">
        <v>20000</v>
      </c>
      <c r="G22" s="10">
        <f t="shared" si="0"/>
        <v>1600000</v>
      </c>
      <c r="H22" s="9" t="s">
        <v>21</v>
      </c>
      <c r="I22" s="9" t="str">
        <f t="shared" si="1"/>
        <v>Venta Alta</v>
      </c>
    </row>
    <row r="23" spans="2:9" x14ac:dyDescent="0.3">
      <c r="B23" s="8">
        <v>46044</v>
      </c>
      <c r="C23" s="9" t="s">
        <v>8</v>
      </c>
      <c r="D23" s="9" t="s">
        <v>9</v>
      </c>
      <c r="E23" s="9">
        <v>60</v>
      </c>
      <c r="F23" s="10">
        <v>28000</v>
      </c>
      <c r="G23" s="10">
        <f t="shared" si="0"/>
        <v>1680000</v>
      </c>
      <c r="H23" s="9" t="s">
        <v>10</v>
      </c>
      <c r="I23" s="9" t="str">
        <f t="shared" si="1"/>
        <v>Venta Alta</v>
      </c>
    </row>
    <row r="24" spans="2:9" x14ac:dyDescent="0.3">
      <c r="B24" s="8">
        <v>46045</v>
      </c>
      <c r="C24" s="9" t="s">
        <v>11</v>
      </c>
      <c r="D24" s="9" t="s">
        <v>12</v>
      </c>
      <c r="E24" s="9">
        <v>27</v>
      </c>
      <c r="F24" s="10">
        <v>35000</v>
      </c>
      <c r="G24" s="10">
        <f t="shared" si="0"/>
        <v>945000</v>
      </c>
      <c r="H24" s="9" t="s">
        <v>13</v>
      </c>
      <c r="I24" s="9" t="str">
        <f t="shared" si="1"/>
        <v>Venta Normal</v>
      </c>
    </row>
    <row r="25" spans="2:9" x14ac:dyDescent="0.3">
      <c r="B25" s="8">
        <v>46046</v>
      </c>
      <c r="C25" s="9" t="s">
        <v>14</v>
      </c>
      <c r="D25" s="9" t="s">
        <v>15</v>
      </c>
      <c r="E25" s="9">
        <v>100</v>
      </c>
      <c r="F25" s="10">
        <v>15000</v>
      </c>
      <c r="G25" s="10">
        <f t="shared" si="0"/>
        <v>1500000</v>
      </c>
      <c r="H25" s="9" t="s">
        <v>16</v>
      </c>
      <c r="I25" s="9" t="str">
        <f t="shared" si="1"/>
        <v>Venta Normal</v>
      </c>
    </row>
    <row r="26" spans="2:9" x14ac:dyDescent="0.3">
      <c r="B26" s="8">
        <v>46047</v>
      </c>
      <c r="C26" s="9" t="s">
        <v>17</v>
      </c>
      <c r="D26" s="9" t="s">
        <v>18</v>
      </c>
      <c r="E26" s="9">
        <v>90</v>
      </c>
      <c r="F26" s="10">
        <v>20000</v>
      </c>
      <c r="G26" s="10">
        <f t="shared" si="0"/>
        <v>1800000</v>
      </c>
      <c r="H26" s="9" t="s">
        <v>19</v>
      </c>
      <c r="I26" s="9" t="str">
        <f t="shared" si="1"/>
        <v>Venta Alta</v>
      </c>
    </row>
    <row r="27" spans="2:9" x14ac:dyDescent="0.3">
      <c r="B27" s="8">
        <v>46048</v>
      </c>
      <c r="C27" s="9" t="s">
        <v>20</v>
      </c>
      <c r="D27" s="9" t="s">
        <v>9</v>
      </c>
      <c r="E27" s="9">
        <v>38</v>
      </c>
      <c r="F27" s="10">
        <v>28000</v>
      </c>
      <c r="G27" s="10">
        <f t="shared" si="0"/>
        <v>1064000</v>
      </c>
      <c r="H27" s="9" t="s">
        <v>21</v>
      </c>
      <c r="I27" s="9" t="str">
        <f t="shared" si="1"/>
        <v>Venta Normal</v>
      </c>
    </row>
    <row r="28" spans="2:9" x14ac:dyDescent="0.3">
      <c r="B28" s="8">
        <v>46049</v>
      </c>
      <c r="C28" s="9" t="s">
        <v>8</v>
      </c>
      <c r="D28" s="9" t="s">
        <v>12</v>
      </c>
      <c r="E28" s="9">
        <v>35</v>
      </c>
      <c r="F28" s="10">
        <v>35000</v>
      </c>
      <c r="G28" s="10">
        <f t="shared" si="0"/>
        <v>1225000</v>
      </c>
      <c r="H28" s="9" t="s">
        <v>26</v>
      </c>
      <c r="I28" s="9" t="str">
        <f t="shared" si="1"/>
        <v>Venta Normal</v>
      </c>
    </row>
    <row r="29" spans="2:9" x14ac:dyDescent="0.3">
      <c r="B29" s="8">
        <v>46050</v>
      </c>
      <c r="C29" s="9" t="s">
        <v>11</v>
      </c>
      <c r="D29" s="9" t="s">
        <v>15</v>
      </c>
      <c r="E29" s="9">
        <v>105</v>
      </c>
      <c r="F29" s="10">
        <v>15000</v>
      </c>
      <c r="G29" s="10">
        <f t="shared" si="0"/>
        <v>1575000</v>
      </c>
      <c r="H29" s="9" t="s">
        <v>13</v>
      </c>
      <c r="I29" s="9" t="str">
        <f t="shared" si="1"/>
        <v>Venta Alta</v>
      </c>
    </row>
    <row r="30" spans="2:9" x14ac:dyDescent="0.3">
      <c r="B30" s="8">
        <v>46051</v>
      </c>
      <c r="C30" s="9" t="s">
        <v>14</v>
      </c>
      <c r="D30" s="9" t="s">
        <v>18</v>
      </c>
      <c r="E30" s="9">
        <v>79</v>
      </c>
      <c r="F30" s="10">
        <v>20000</v>
      </c>
      <c r="G30" s="10">
        <f t="shared" si="0"/>
        <v>1580000</v>
      </c>
      <c r="H30" s="9" t="s">
        <v>16</v>
      </c>
      <c r="I30" s="9" t="str">
        <f t="shared" si="1"/>
        <v>Venta Alta</v>
      </c>
    </row>
    <row r="31" spans="2:9" x14ac:dyDescent="0.3">
      <c r="B31" s="8">
        <v>46052</v>
      </c>
      <c r="C31" s="9" t="s">
        <v>17</v>
      </c>
      <c r="D31" s="9" t="s">
        <v>9</v>
      </c>
      <c r="E31" s="9">
        <v>48</v>
      </c>
      <c r="F31" s="10">
        <v>28000</v>
      </c>
      <c r="G31" s="10">
        <f t="shared" si="0"/>
        <v>1344000</v>
      </c>
      <c r="H31" s="9" t="s">
        <v>19</v>
      </c>
      <c r="I31" s="9" t="str">
        <f t="shared" si="1"/>
        <v>Venta Normal</v>
      </c>
    </row>
    <row r="32" spans="2:9" x14ac:dyDescent="0.3">
      <c r="B32" s="8">
        <v>46054</v>
      </c>
      <c r="C32" s="9" t="s">
        <v>20</v>
      </c>
      <c r="D32" s="9" t="s">
        <v>12</v>
      </c>
      <c r="E32" s="9">
        <v>26</v>
      </c>
      <c r="F32" s="10">
        <v>35000</v>
      </c>
      <c r="G32" s="10">
        <f t="shared" si="0"/>
        <v>910000</v>
      </c>
      <c r="H32" s="9" t="s">
        <v>21</v>
      </c>
      <c r="I32" s="9" t="str">
        <f t="shared" si="1"/>
        <v>Venta Normal</v>
      </c>
    </row>
    <row r="33" spans="2:9" x14ac:dyDescent="0.3">
      <c r="B33" s="8">
        <v>46055</v>
      </c>
      <c r="C33" s="9" t="s">
        <v>8</v>
      </c>
      <c r="D33" s="9" t="s">
        <v>15</v>
      </c>
      <c r="E33" s="9">
        <v>115</v>
      </c>
      <c r="F33" s="10">
        <v>15000</v>
      </c>
      <c r="G33" s="10">
        <f t="shared" si="0"/>
        <v>1725000</v>
      </c>
      <c r="H33" s="9" t="s">
        <v>10</v>
      </c>
      <c r="I33" s="9" t="str">
        <f t="shared" si="1"/>
        <v>Venta Alta</v>
      </c>
    </row>
    <row r="34" spans="2:9" x14ac:dyDescent="0.3">
      <c r="B34" s="8">
        <v>46056</v>
      </c>
      <c r="C34" s="9" t="s">
        <v>11</v>
      </c>
      <c r="D34" s="9" t="s">
        <v>18</v>
      </c>
      <c r="E34" s="9">
        <v>88</v>
      </c>
      <c r="F34" s="10">
        <v>20000</v>
      </c>
      <c r="G34" s="10">
        <f t="shared" si="0"/>
        <v>1760000</v>
      </c>
      <c r="H34" s="9" t="s">
        <v>13</v>
      </c>
      <c r="I34" s="9" t="str">
        <f t="shared" si="1"/>
        <v>Venta Alta</v>
      </c>
    </row>
    <row r="35" spans="2:9" x14ac:dyDescent="0.3">
      <c r="B35" s="8">
        <v>46057</v>
      </c>
      <c r="C35" s="9" t="s">
        <v>14</v>
      </c>
      <c r="D35" s="9" t="s">
        <v>9</v>
      </c>
      <c r="E35" s="9">
        <v>52</v>
      </c>
      <c r="F35" s="10">
        <v>28000</v>
      </c>
      <c r="G35" s="10">
        <f t="shared" si="0"/>
        <v>1456000</v>
      </c>
      <c r="H35" s="9" t="s">
        <v>16</v>
      </c>
      <c r="I35" s="9" t="str">
        <f t="shared" si="1"/>
        <v>Venta Normal</v>
      </c>
    </row>
    <row r="36" spans="2:9" x14ac:dyDescent="0.3">
      <c r="B36" s="8">
        <v>46058</v>
      </c>
      <c r="C36" s="9" t="s">
        <v>17</v>
      </c>
      <c r="D36" s="9" t="s">
        <v>12</v>
      </c>
      <c r="E36" s="9">
        <v>29</v>
      </c>
      <c r="F36" s="10">
        <v>35000</v>
      </c>
      <c r="G36" s="10">
        <f t="shared" si="0"/>
        <v>1015000</v>
      </c>
      <c r="H36" s="9" t="s">
        <v>19</v>
      </c>
      <c r="I36" s="9" t="str">
        <f t="shared" si="1"/>
        <v>Venta Normal</v>
      </c>
    </row>
    <row r="37" spans="2:9" x14ac:dyDescent="0.3">
      <c r="B37" s="8">
        <v>46059</v>
      </c>
      <c r="C37" s="9" t="s">
        <v>20</v>
      </c>
      <c r="D37" s="9" t="s">
        <v>15</v>
      </c>
      <c r="E37" s="9">
        <v>98</v>
      </c>
      <c r="F37" s="10">
        <v>15000</v>
      </c>
      <c r="G37" s="10">
        <f t="shared" si="0"/>
        <v>1470000</v>
      </c>
      <c r="H37" s="9" t="s">
        <v>21</v>
      </c>
      <c r="I37" s="9" t="str">
        <f t="shared" si="1"/>
        <v>Venta Normal</v>
      </c>
    </row>
    <row r="38" spans="2:9" x14ac:dyDescent="0.3">
      <c r="B38" s="8">
        <v>46060</v>
      </c>
      <c r="C38" s="9" t="s">
        <v>8</v>
      </c>
      <c r="D38" s="9" t="s">
        <v>18</v>
      </c>
      <c r="E38" s="9">
        <v>77</v>
      </c>
      <c r="F38" s="10">
        <v>20000</v>
      </c>
      <c r="G38" s="10">
        <f t="shared" si="0"/>
        <v>1540000</v>
      </c>
      <c r="H38" s="9" t="s">
        <v>10</v>
      </c>
      <c r="I38" s="9" t="str">
        <f t="shared" si="1"/>
        <v>Venta Alta</v>
      </c>
    </row>
    <row r="39" spans="2:9" x14ac:dyDescent="0.3">
      <c r="B39" s="8">
        <v>46061</v>
      </c>
      <c r="C39" s="9" t="s">
        <v>11</v>
      </c>
      <c r="D39" s="9" t="s">
        <v>9</v>
      </c>
      <c r="E39" s="9">
        <v>43</v>
      </c>
      <c r="F39" s="10">
        <v>28000</v>
      </c>
      <c r="G39" s="10">
        <f t="shared" si="0"/>
        <v>1204000</v>
      </c>
      <c r="H39" s="9" t="s">
        <v>13</v>
      </c>
      <c r="I39" s="9" t="str">
        <f t="shared" si="1"/>
        <v>Venta Normal</v>
      </c>
    </row>
    <row r="40" spans="2:9" x14ac:dyDescent="0.3">
      <c r="B40" s="8">
        <v>46062</v>
      </c>
      <c r="C40" s="9" t="s">
        <v>14</v>
      </c>
      <c r="D40" s="9" t="s">
        <v>12</v>
      </c>
      <c r="E40" s="9">
        <v>24</v>
      </c>
      <c r="F40" s="10">
        <v>35000</v>
      </c>
      <c r="G40" s="10">
        <f t="shared" si="0"/>
        <v>840000</v>
      </c>
      <c r="H40" s="9" t="s">
        <v>16</v>
      </c>
      <c r="I40" s="9" t="str">
        <f t="shared" si="1"/>
        <v>Venta Normal</v>
      </c>
    </row>
    <row r="41" spans="2:9" x14ac:dyDescent="0.3">
      <c r="B41" s="8">
        <v>46063</v>
      </c>
      <c r="C41" s="9" t="s">
        <v>17</v>
      </c>
      <c r="D41" s="9" t="s">
        <v>15</v>
      </c>
      <c r="E41" s="9">
        <v>130</v>
      </c>
      <c r="F41" s="10">
        <v>15000</v>
      </c>
      <c r="G41" s="10">
        <f t="shared" si="0"/>
        <v>1950000</v>
      </c>
      <c r="H41" s="9" t="s">
        <v>19</v>
      </c>
      <c r="I41" s="9" t="str">
        <f t="shared" si="1"/>
        <v>Venta Alta</v>
      </c>
    </row>
    <row r="42" spans="2:9" x14ac:dyDescent="0.3">
      <c r="B42" s="8">
        <v>46064</v>
      </c>
      <c r="C42" s="9" t="s">
        <v>20</v>
      </c>
      <c r="D42" s="9" t="s">
        <v>18</v>
      </c>
      <c r="E42" s="9">
        <v>92</v>
      </c>
      <c r="F42" s="10">
        <v>20000</v>
      </c>
      <c r="G42" s="10">
        <f t="shared" si="0"/>
        <v>1840000</v>
      </c>
      <c r="H42" s="9" t="s">
        <v>21</v>
      </c>
      <c r="I42" s="9" t="str">
        <f t="shared" si="1"/>
        <v>Venta Alta</v>
      </c>
    </row>
    <row r="43" spans="2:9" x14ac:dyDescent="0.3">
      <c r="B43" s="8">
        <v>46065</v>
      </c>
      <c r="C43" s="9" t="s">
        <v>8</v>
      </c>
      <c r="D43" s="9" t="s">
        <v>9</v>
      </c>
      <c r="E43" s="9">
        <v>58</v>
      </c>
      <c r="F43" s="10">
        <v>28000</v>
      </c>
      <c r="G43" s="10">
        <f t="shared" si="0"/>
        <v>1624000</v>
      </c>
      <c r="H43" s="9" t="s">
        <v>10</v>
      </c>
      <c r="I43" s="9" t="str">
        <f t="shared" si="1"/>
        <v>Venta Alta</v>
      </c>
    </row>
    <row r="44" spans="2:9" x14ac:dyDescent="0.3">
      <c r="B44" s="8">
        <v>46066</v>
      </c>
      <c r="C44" s="9" t="s">
        <v>11</v>
      </c>
      <c r="D44" s="9" t="s">
        <v>12</v>
      </c>
      <c r="E44" s="9">
        <v>33</v>
      </c>
      <c r="F44" s="10">
        <v>35000</v>
      </c>
      <c r="G44" s="10">
        <f t="shared" si="0"/>
        <v>1155000</v>
      </c>
      <c r="H44" s="9" t="s">
        <v>13</v>
      </c>
      <c r="I44" s="9" t="str">
        <f t="shared" si="1"/>
        <v>Venta Normal</v>
      </c>
    </row>
    <row r="45" spans="2:9" x14ac:dyDescent="0.3">
      <c r="B45" s="8">
        <v>46067</v>
      </c>
      <c r="C45" s="9" t="s">
        <v>14</v>
      </c>
      <c r="D45" s="9" t="s">
        <v>15</v>
      </c>
      <c r="E45" s="9">
        <v>108</v>
      </c>
      <c r="F45" s="10">
        <v>15000</v>
      </c>
      <c r="G45" s="10">
        <f t="shared" si="0"/>
        <v>1620000</v>
      </c>
      <c r="H45" s="9" t="s">
        <v>16</v>
      </c>
      <c r="I45" s="9" t="str">
        <f t="shared" si="1"/>
        <v>Venta Alta</v>
      </c>
    </row>
    <row r="46" spans="2:9" x14ac:dyDescent="0.3">
      <c r="B46" s="8">
        <v>46068</v>
      </c>
      <c r="C46" s="9" t="s">
        <v>17</v>
      </c>
      <c r="D46" s="9" t="s">
        <v>18</v>
      </c>
      <c r="E46" s="9">
        <v>85</v>
      </c>
      <c r="F46" s="10">
        <v>20000</v>
      </c>
      <c r="G46" s="10">
        <f t="shared" si="0"/>
        <v>1700000</v>
      </c>
      <c r="H46" s="9" t="s">
        <v>19</v>
      </c>
      <c r="I46" s="9" t="str">
        <f t="shared" si="1"/>
        <v>Venta Alta</v>
      </c>
    </row>
    <row r="47" spans="2:9" x14ac:dyDescent="0.3">
      <c r="B47" s="8">
        <v>46069</v>
      </c>
      <c r="C47" s="9" t="s">
        <v>20</v>
      </c>
      <c r="D47" s="9" t="s">
        <v>9</v>
      </c>
      <c r="E47" s="9">
        <v>47</v>
      </c>
      <c r="F47" s="10">
        <v>28000</v>
      </c>
      <c r="G47" s="10">
        <f t="shared" si="0"/>
        <v>1316000</v>
      </c>
      <c r="H47" s="9" t="s">
        <v>21</v>
      </c>
      <c r="I47" s="9" t="str">
        <f t="shared" si="1"/>
        <v>Venta Normal</v>
      </c>
    </row>
    <row r="48" spans="2:9" x14ac:dyDescent="0.3">
      <c r="B48" s="8">
        <v>46070</v>
      </c>
      <c r="C48" s="9" t="s">
        <v>8</v>
      </c>
      <c r="D48" s="9" t="s">
        <v>12</v>
      </c>
      <c r="E48" s="9">
        <v>33</v>
      </c>
      <c r="F48" s="10">
        <v>35000</v>
      </c>
      <c r="G48" s="10">
        <f t="shared" si="0"/>
        <v>1155000</v>
      </c>
      <c r="H48" s="9" t="s">
        <v>26</v>
      </c>
      <c r="I48" s="9" t="str">
        <f t="shared" si="1"/>
        <v>Venta Normal</v>
      </c>
    </row>
    <row r="49" spans="2:9" x14ac:dyDescent="0.3">
      <c r="B49" s="8">
        <v>46071</v>
      </c>
      <c r="C49" s="9" t="s">
        <v>11</v>
      </c>
      <c r="D49" s="9" t="s">
        <v>15</v>
      </c>
      <c r="E49" s="9">
        <v>112</v>
      </c>
      <c r="F49" s="10">
        <v>15000</v>
      </c>
      <c r="G49" s="10">
        <f t="shared" si="0"/>
        <v>1680000</v>
      </c>
      <c r="H49" s="9" t="s">
        <v>13</v>
      </c>
      <c r="I49" s="9" t="str">
        <f t="shared" si="1"/>
        <v>Venta Alta</v>
      </c>
    </row>
    <row r="50" spans="2:9" x14ac:dyDescent="0.3">
      <c r="B50" s="8">
        <v>46072</v>
      </c>
      <c r="C50" s="9" t="s">
        <v>14</v>
      </c>
      <c r="D50" s="9" t="s">
        <v>18</v>
      </c>
      <c r="E50" s="9">
        <v>79</v>
      </c>
      <c r="F50" s="10">
        <v>20000</v>
      </c>
      <c r="G50" s="10">
        <f t="shared" si="0"/>
        <v>1580000</v>
      </c>
      <c r="H50" s="9" t="s">
        <v>16</v>
      </c>
      <c r="I50" s="9" t="str">
        <f t="shared" si="1"/>
        <v>Venta Alta</v>
      </c>
    </row>
    <row r="51" spans="2:9" x14ac:dyDescent="0.3">
      <c r="B51" s="8">
        <v>46073</v>
      </c>
      <c r="C51" s="9" t="s">
        <v>17</v>
      </c>
      <c r="D51" s="9" t="s">
        <v>9</v>
      </c>
      <c r="E51" s="9">
        <v>62</v>
      </c>
      <c r="F51" s="10">
        <v>28000</v>
      </c>
      <c r="G51" s="10">
        <f t="shared" si="0"/>
        <v>1736000</v>
      </c>
      <c r="H51" s="9" t="s">
        <v>19</v>
      </c>
      <c r="I51" s="9" t="str">
        <f t="shared" si="1"/>
        <v>Venta Alta</v>
      </c>
    </row>
  </sheetData>
  <phoneticPr fontId="2" type="noConversion"/>
  <conditionalFormatting sqref="I3:I51">
    <cfRule type="containsText" dxfId="5" priority="1" operator="containsText" text="Venta Alta">
      <formula>NOT(ISERROR(SEARCH("Venta Alta",I3)))</formula>
    </cfRule>
    <cfRule type="containsText" dxfId="4" priority="2" operator="containsText" text="Venta Normal">
      <formula>NOT(ISERROR(SEARCH("Venta Normal",I3)))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F913-5D0B-47C2-B20F-2BA222266DE3}">
  <dimension ref="A2:H30"/>
  <sheetViews>
    <sheetView zoomScale="55" workbookViewId="0">
      <selection activeCell="H35" sqref="H35"/>
    </sheetView>
  </sheetViews>
  <sheetFormatPr baseColWidth="10" defaultRowHeight="14.4" x14ac:dyDescent="0.3"/>
  <cols>
    <col min="1" max="1" width="19.6640625" bestFit="1" customWidth="1"/>
    <col min="2" max="2" width="15.109375" bestFit="1" customWidth="1"/>
    <col min="3" max="8" width="17.33203125" bestFit="1" customWidth="1"/>
    <col min="9" max="10" width="12" bestFit="1" customWidth="1"/>
    <col min="11" max="14" width="19.6640625" bestFit="1" customWidth="1"/>
    <col min="15" max="15" width="24.21875" bestFit="1" customWidth="1"/>
    <col min="16" max="16" width="22.44140625" bestFit="1" customWidth="1"/>
  </cols>
  <sheetData>
    <row r="2" spans="1:8" x14ac:dyDescent="0.3">
      <c r="A2" s="12" t="s">
        <v>27</v>
      </c>
      <c r="C2" s="12" t="s">
        <v>1</v>
      </c>
    </row>
    <row r="3" spans="1:8" x14ac:dyDescent="0.3">
      <c r="A3" s="12" t="s">
        <v>2</v>
      </c>
      <c r="B3" s="12" t="s">
        <v>22</v>
      </c>
      <c r="C3" t="s">
        <v>17</v>
      </c>
      <c r="D3" t="s">
        <v>11</v>
      </c>
      <c r="E3" t="s">
        <v>14</v>
      </c>
      <c r="F3" t="s">
        <v>8</v>
      </c>
      <c r="G3" t="s">
        <v>20</v>
      </c>
      <c r="H3" t="s">
        <v>28</v>
      </c>
    </row>
    <row r="4" spans="1:8" x14ac:dyDescent="0.3">
      <c r="A4" t="s">
        <v>15</v>
      </c>
      <c r="B4" t="s">
        <v>21</v>
      </c>
      <c r="C4" s="11"/>
      <c r="D4" s="11"/>
      <c r="E4" s="11"/>
      <c r="F4" s="11"/>
      <c r="G4" s="11">
        <v>91.5</v>
      </c>
      <c r="H4" s="11">
        <v>91.5</v>
      </c>
    </row>
    <row r="5" spans="1:8" x14ac:dyDescent="0.3">
      <c r="B5" t="s">
        <v>10</v>
      </c>
      <c r="C5" s="11"/>
      <c r="D5" s="11"/>
      <c r="E5" s="11"/>
      <c r="F5" s="11">
        <v>115</v>
      </c>
      <c r="G5" s="11"/>
      <c r="H5" s="11">
        <v>115</v>
      </c>
    </row>
    <row r="6" spans="1:8" x14ac:dyDescent="0.3">
      <c r="B6" t="s">
        <v>19</v>
      </c>
      <c r="C6" s="11">
        <v>103.33333333333333</v>
      </c>
      <c r="D6" s="11"/>
      <c r="E6" s="11"/>
      <c r="F6" s="11"/>
      <c r="G6" s="11"/>
      <c r="H6" s="11">
        <v>103.33333333333333</v>
      </c>
    </row>
    <row r="7" spans="1:8" x14ac:dyDescent="0.3">
      <c r="B7" t="s">
        <v>16</v>
      </c>
      <c r="C7" s="11"/>
      <c r="D7" s="11"/>
      <c r="E7" s="11">
        <v>104</v>
      </c>
      <c r="F7" s="11"/>
      <c r="G7" s="11"/>
      <c r="H7" s="11">
        <v>104</v>
      </c>
    </row>
    <row r="8" spans="1:8" x14ac:dyDescent="0.3">
      <c r="B8" t="s">
        <v>13</v>
      </c>
      <c r="C8" s="11"/>
      <c r="D8" s="11">
        <v>109</v>
      </c>
      <c r="E8" s="11"/>
      <c r="F8" s="11"/>
      <c r="G8" s="11"/>
      <c r="H8" s="11">
        <v>109</v>
      </c>
    </row>
    <row r="9" spans="1:8" x14ac:dyDescent="0.3">
      <c r="B9" t="s">
        <v>26</v>
      </c>
      <c r="C9" s="11"/>
      <c r="D9" s="11"/>
      <c r="E9" s="11"/>
      <c r="F9" s="11">
        <v>95</v>
      </c>
      <c r="G9" s="11"/>
      <c r="H9" s="11">
        <v>95</v>
      </c>
    </row>
    <row r="10" spans="1:8" x14ac:dyDescent="0.3">
      <c r="A10" t="s">
        <v>29</v>
      </c>
      <c r="C10" s="11">
        <v>103.33333333333333</v>
      </c>
      <c r="D10" s="11">
        <v>109</v>
      </c>
      <c r="E10" s="11">
        <v>104</v>
      </c>
      <c r="F10" s="11">
        <v>105</v>
      </c>
      <c r="G10" s="11">
        <v>91.5</v>
      </c>
      <c r="H10" s="11">
        <v>103.16666666666667</v>
      </c>
    </row>
    <row r="11" spans="1:8" x14ac:dyDescent="0.3">
      <c r="A11" t="s">
        <v>18</v>
      </c>
      <c r="B11" t="s">
        <v>21</v>
      </c>
      <c r="C11" s="11"/>
      <c r="D11" s="11"/>
      <c r="E11" s="11"/>
      <c r="F11" s="11"/>
      <c r="G11" s="11">
        <v>86</v>
      </c>
      <c r="H11" s="11">
        <v>86</v>
      </c>
    </row>
    <row r="12" spans="1:8" x14ac:dyDescent="0.3">
      <c r="B12" t="s">
        <v>10</v>
      </c>
      <c r="C12" s="11"/>
      <c r="D12" s="11"/>
      <c r="E12" s="11"/>
      <c r="F12" s="11">
        <v>71</v>
      </c>
      <c r="G12" s="11"/>
      <c r="H12" s="11">
        <v>71</v>
      </c>
    </row>
    <row r="13" spans="1:8" x14ac:dyDescent="0.3">
      <c r="B13" t="s">
        <v>19</v>
      </c>
      <c r="C13" s="11">
        <v>87.5</v>
      </c>
      <c r="D13" s="11"/>
      <c r="E13" s="11"/>
      <c r="F13" s="11"/>
      <c r="G13" s="11"/>
      <c r="H13" s="11">
        <v>87.5</v>
      </c>
    </row>
    <row r="14" spans="1:8" x14ac:dyDescent="0.3">
      <c r="B14" t="s">
        <v>16</v>
      </c>
      <c r="C14" s="11"/>
      <c r="D14" s="11"/>
      <c r="E14" s="11">
        <v>76.25</v>
      </c>
      <c r="F14" s="11"/>
      <c r="G14" s="11"/>
      <c r="H14" s="11">
        <v>76.25</v>
      </c>
    </row>
    <row r="15" spans="1:8" x14ac:dyDescent="0.3">
      <c r="B15" t="s">
        <v>13</v>
      </c>
      <c r="C15" s="11"/>
      <c r="D15" s="11">
        <v>79</v>
      </c>
      <c r="E15" s="11"/>
      <c r="F15" s="11"/>
      <c r="G15" s="11"/>
      <c r="H15" s="11">
        <v>79</v>
      </c>
    </row>
    <row r="16" spans="1:8" x14ac:dyDescent="0.3">
      <c r="A16" t="s">
        <v>30</v>
      </c>
      <c r="C16" s="11">
        <v>87.5</v>
      </c>
      <c r="D16" s="11">
        <v>79</v>
      </c>
      <c r="E16" s="11">
        <v>76.25</v>
      </c>
      <c r="F16" s="11">
        <v>71</v>
      </c>
      <c r="G16" s="11">
        <v>86</v>
      </c>
      <c r="H16" s="11">
        <v>79.333333333333329</v>
      </c>
    </row>
    <row r="17" spans="1:8" x14ac:dyDescent="0.3">
      <c r="A17" t="s">
        <v>9</v>
      </c>
      <c r="B17" t="s">
        <v>21</v>
      </c>
      <c r="C17" s="11"/>
      <c r="D17" s="11"/>
      <c r="E17" s="11"/>
      <c r="F17" s="11"/>
      <c r="G17" s="11">
        <v>40</v>
      </c>
      <c r="H17" s="11">
        <v>40</v>
      </c>
    </row>
    <row r="18" spans="1:8" x14ac:dyDescent="0.3">
      <c r="B18" t="s">
        <v>10</v>
      </c>
      <c r="C18" s="11"/>
      <c r="D18" s="11"/>
      <c r="E18" s="11"/>
      <c r="F18" s="11">
        <v>52.666666666666664</v>
      </c>
      <c r="G18" s="11"/>
      <c r="H18" s="11">
        <v>52.666666666666664</v>
      </c>
    </row>
    <row r="19" spans="1:8" x14ac:dyDescent="0.3">
      <c r="B19" t="s">
        <v>19</v>
      </c>
      <c r="C19" s="11">
        <v>53.333333333333336</v>
      </c>
      <c r="D19" s="11"/>
      <c r="E19" s="11"/>
      <c r="F19" s="11"/>
      <c r="G19" s="11"/>
      <c r="H19" s="11">
        <v>53.333333333333336</v>
      </c>
    </row>
    <row r="20" spans="1:8" x14ac:dyDescent="0.3">
      <c r="B20" t="s">
        <v>16</v>
      </c>
      <c r="C20" s="11"/>
      <c r="D20" s="11"/>
      <c r="E20" s="11">
        <v>48.5</v>
      </c>
      <c r="F20" s="11"/>
      <c r="G20" s="11"/>
      <c r="H20" s="11">
        <v>48.5</v>
      </c>
    </row>
    <row r="21" spans="1:8" x14ac:dyDescent="0.3">
      <c r="B21" t="s">
        <v>13</v>
      </c>
      <c r="C21" s="11"/>
      <c r="D21" s="11">
        <v>49</v>
      </c>
      <c r="E21" s="11"/>
      <c r="F21" s="11"/>
      <c r="G21" s="11"/>
      <c r="H21" s="11">
        <v>49</v>
      </c>
    </row>
    <row r="22" spans="1:8" x14ac:dyDescent="0.3">
      <c r="A22" t="s">
        <v>31</v>
      </c>
      <c r="C22" s="11">
        <v>53.333333333333336</v>
      </c>
      <c r="D22" s="11">
        <v>49</v>
      </c>
      <c r="E22" s="11">
        <v>48.5</v>
      </c>
      <c r="F22" s="11">
        <v>52.666666666666664</v>
      </c>
      <c r="G22" s="11">
        <v>40</v>
      </c>
      <c r="H22" s="11">
        <v>48.692307692307693</v>
      </c>
    </row>
    <row r="23" spans="1:8" x14ac:dyDescent="0.3">
      <c r="A23" t="s">
        <v>12</v>
      </c>
      <c r="B23" t="s">
        <v>21</v>
      </c>
      <c r="C23" s="11"/>
      <c r="D23" s="11"/>
      <c r="E23" s="11"/>
      <c r="F23" s="11"/>
      <c r="G23" s="11">
        <v>27</v>
      </c>
      <c r="H23" s="11">
        <v>27</v>
      </c>
    </row>
    <row r="24" spans="1:8" x14ac:dyDescent="0.3">
      <c r="B24" t="s">
        <v>10</v>
      </c>
      <c r="C24" s="11"/>
      <c r="D24" s="11"/>
      <c r="E24" s="11"/>
      <c r="F24" s="11">
        <v>20</v>
      </c>
      <c r="G24" s="11"/>
      <c r="H24" s="11">
        <v>20</v>
      </c>
    </row>
    <row r="25" spans="1:8" x14ac:dyDescent="0.3">
      <c r="B25" t="s">
        <v>19</v>
      </c>
      <c r="C25" s="11">
        <v>29.5</v>
      </c>
      <c r="D25" s="11"/>
      <c r="E25" s="11"/>
      <c r="F25" s="11"/>
      <c r="G25" s="11"/>
      <c r="H25" s="11">
        <v>29.5</v>
      </c>
    </row>
    <row r="26" spans="1:8" x14ac:dyDescent="0.3">
      <c r="B26" t="s">
        <v>16</v>
      </c>
      <c r="C26" s="11"/>
      <c r="D26" s="11"/>
      <c r="E26" s="11">
        <v>23</v>
      </c>
      <c r="F26" s="11"/>
      <c r="G26" s="11"/>
      <c r="H26" s="11">
        <v>23</v>
      </c>
    </row>
    <row r="27" spans="1:8" x14ac:dyDescent="0.3">
      <c r="B27" t="s">
        <v>13</v>
      </c>
      <c r="C27" s="11"/>
      <c r="D27" s="11">
        <v>28.333333333333332</v>
      </c>
      <c r="E27" s="11"/>
      <c r="F27" s="11"/>
      <c r="G27" s="11"/>
      <c r="H27" s="11">
        <v>28.333333333333332</v>
      </c>
    </row>
    <row r="28" spans="1:8" x14ac:dyDescent="0.3">
      <c r="B28" t="s">
        <v>26</v>
      </c>
      <c r="C28" s="11"/>
      <c r="D28" s="11"/>
      <c r="E28" s="11"/>
      <c r="F28" s="11">
        <v>34</v>
      </c>
      <c r="G28" s="11"/>
      <c r="H28" s="11">
        <v>34</v>
      </c>
    </row>
    <row r="29" spans="1:8" x14ac:dyDescent="0.3">
      <c r="A29" t="s">
        <v>32</v>
      </c>
      <c r="C29" s="11">
        <v>29.5</v>
      </c>
      <c r="D29" s="11">
        <v>28.333333333333332</v>
      </c>
      <c r="E29" s="11">
        <v>23</v>
      </c>
      <c r="F29" s="11">
        <v>29.333333333333332</v>
      </c>
      <c r="G29" s="11">
        <v>27</v>
      </c>
      <c r="H29" s="11">
        <v>27.666666666666668</v>
      </c>
    </row>
    <row r="30" spans="1:8" x14ac:dyDescent="0.3">
      <c r="A30" t="s">
        <v>28</v>
      </c>
      <c r="C30" s="11">
        <v>70.400000000000006</v>
      </c>
      <c r="D30" s="11">
        <v>66.8</v>
      </c>
      <c r="E30" s="11">
        <v>65.599999999999994</v>
      </c>
      <c r="F30" s="11">
        <v>59.8</v>
      </c>
      <c r="G30" s="11">
        <v>58.777777777777779</v>
      </c>
      <c r="H30" s="11">
        <v>64.387755102040813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8A91-BFB2-4473-B802-E86B4E9B7E83}">
  <dimension ref="A1:E79"/>
  <sheetViews>
    <sheetView workbookViewId="0"/>
  </sheetViews>
  <sheetFormatPr baseColWidth="10" defaultRowHeight="14.4" x14ac:dyDescent="0.3"/>
  <cols>
    <col min="2" max="2" width="12.109375" customWidth="1"/>
    <col min="3" max="3" width="21.109375" customWidth="1"/>
    <col min="4" max="4" width="35.88671875" customWidth="1"/>
    <col min="5" max="5" width="36.77734375" customWidth="1"/>
  </cols>
  <sheetData>
    <row r="1" spans="1:5" x14ac:dyDescent="0.3">
      <c r="A1" t="s">
        <v>0</v>
      </c>
      <c r="B1" t="s">
        <v>5</v>
      </c>
      <c r="C1" t="s">
        <v>33</v>
      </c>
      <c r="D1" t="s">
        <v>34</v>
      </c>
      <c r="E1" t="s">
        <v>35</v>
      </c>
    </row>
    <row r="2" spans="1:5" x14ac:dyDescent="0.3">
      <c r="A2" s="13">
        <v>46024</v>
      </c>
      <c r="B2" s="14">
        <v>1120000</v>
      </c>
    </row>
    <row r="3" spans="1:5" x14ac:dyDescent="0.3">
      <c r="A3" s="13">
        <v>46025</v>
      </c>
      <c r="B3" s="14">
        <v>875000</v>
      </c>
    </row>
    <row r="4" spans="1:5" x14ac:dyDescent="0.3">
      <c r="A4" s="13">
        <v>46026</v>
      </c>
      <c r="B4" s="14">
        <v>1440000</v>
      </c>
    </row>
    <row r="5" spans="1:5" x14ac:dyDescent="0.3">
      <c r="A5" s="13">
        <v>46027</v>
      </c>
      <c r="B5" s="14">
        <v>900000</v>
      </c>
    </row>
    <row r="6" spans="1:5" x14ac:dyDescent="0.3">
      <c r="A6" s="13">
        <v>46028</v>
      </c>
      <c r="B6" s="14">
        <v>980000</v>
      </c>
    </row>
    <row r="7" spans="1:5" x14ac:dyDescent="0.3">
      <c r="A7" s="13">
        <v>46029</v>
      </c>
      <c r="B7" s="14">
        <v>700000</v>
      </c>
    </row>
    <row r="8" spans="1:5" x14ac:dyDescent="0.3">
      <c r="A8" s="13">
        <v>46030</v>
      </c>
      <c r="B8" s="14">
        <v>1650000</v>
      </c>
    </row>
    <row r="9" spans="1:5" x14ac:dyDescent="0.3">
      <c r="A9" s="13">
        <v>46031</v>
      </c>
      <c r="B9" s="14">
        <v>1500000</v>
      </c>
    </row>
    <row r="10" spans="1:5" x14ac:dyDescent="0.3">
      <c r="A10" s="13">
        <v>46032</v>
      </c>
      <c r="B10" s="14">
        <v>1400000</v>
      </c>
    </row>
    <row r="11" spans="1:5" x14ac:dyDescent="0.3">
      <c r="A11" s="13">
        <v>46033</v>
      </c>
      <c r="B11" s="14">
        <v>980000</v>
      </c>
    </row>
    <row r="12" spans="1:5" x14ac:dyDescent="0.3">
      <c r="A12" s="13">
        <v>46034</v>
      </c>
      <c r="B12" s="14">
        <v>1425000</v>
      </c>
    </row>
    <row r="13" spans="1:5" x14ac:dyDescent="0.3">
      <c r="A13" s="13">
        <v>46035</v>
      </c>
      <c r="B13" s="14">
        <v>1400000</v>
      </c>
    </row>
    <row r="14" spans="1:5" x14ac:dyDescent="0.3">
      <c r="A14" s="13">
        <v>46036</v>
      </c>
      <c r="B14" s="14">
        <v>1260000</v>
      </c>
    </row>
    <row r="15" spans="1:5" x14ac:dyDescent="0.3">
      <c r="A15" s="13">
        <v>46037</v>
      </c>
      <c r="B15" s="14">
        <v>1050000</v>
      </c>
    </row>
    <row r="16" spans="1:5" x14ac:dyDescent="0.3">
      <c r="A16" s="13">
        <v>46038</v>
      </c>
      <c r="B16" s="14">
        <v>1275000</v>
      </c>
    </row>
    <row r="17" spans="1:2" x14ac:dyDescent="0.3">
      <c r="A17" s="13">
        <v>46039</v>
      </c>
      <c r="B17" s="14">
        <v>1300000</v>
      </c>
    </row>
    <row r="18" spans="1:2" x14ac:dyDescent="0.3">
      <c r="A18" s="13">
        <v>46040</v>
      </c>
      <c r="B18" s="14">
        <v>1540000</v>
      </c>
    </row>
    <row r="19" spans="1:2" x14ac:dyDescent="0.3">
      <c r="A19" s="13">
        <v>46041</v>
      </c>
      <c r="B19" s="14">
        <v>770000</v>
      </c>
    </row>
    <row r="20" spans="1:2" x14ac:dyDescent="0.3">
      <c r="A20" s="13">
        <v>46042</v>
      </c>
      <c r="B20" s="14">
        <v>1800000</v>
      </c>
    </row>
    <row r="21" spans="1:2" x14ac:dyDescent="0.3">
      <c r="A21" s="13">
        <v>46043</v>
      </c>
      <c r="B21" s="14">
        <v>1600000</v>
      </c>
    </row>
    <row r="22" spans="1:2" x14ac:dyDescent="0.3">
      <c r="A22" s="13">
        <v>46044</v>
      </c>
      <c r="B22" s="14">
        <v>1680000</v>
      </c>
    </row>
    <row r="23" spans="1:2" x14ac:dyDescent="0.3">
      <c r="A23" s="13">
        <v>46045</v>
      </c>
      <c r="B23" s="14">
        <v>945000</v>
      </c>
    </row>
    <row r="24" spans="1:2" x14ac:dyDescent="0.3">
      <c r="A24" s="13">
        <v>46046</v>
      </c>
      <c r="B24" s="14">
        <v>1500000</v>
      </c>
    </row>
    <row r="25" spans="1:2" x14ac:dyDescent="0.3">
      <c r="A25" s="13">
        <v>46047</v>
      </c>
      <c r="B25" s="14">
        <v>1800000</v>
      </c>
    </row>
    <row r="26" spans="1:2" x14ac:dyDescent="0.3">
      <c r="A26" s="13">
        <v>46048</v>
      </c>
      <c r="B26" s="14">
        <v>1064000</v>
      </c>
    </row>
    <row r="27" spans="1:2" x14ac:dyDescent="0.3">
      <c r="A27" s="13">
        <v>46049</v>
      </c>
      <c r="B27" s="14">
        <v>1225000</v>
      </c>
    </row>
    <row r="28" spans="1:2" x14ac:dyDescent="0.3">
      <c r="A28" s="13">
        <v>46050</v>
      </c>
      <c r="B28" s="14">
        <v>1575000</v>
      </c>
    </row>
    <row r="29" spans="1:2" x14ac:dyDescent="0.3">
      <c r="A29" s="13">
        <v>46051</v>
      </c>
      <c r="B29" s="14">
        <v>1580000</v>
      </c>
    </row>
    <row r="30" spans="1:2" x14ac:dyDescent="0.3">
      <c r="A30" s="13">
        <v>46052</v>
      </c>
      <c r="B30" s="14">
        <v>1344000</v>
      </c>
    </row>
    <row r="31" spans="1:2" x14ac:dyDescent="0.3">
      <c r="A31" s="13">
        <v>46053</v>
      </c>
      <c r="B31" s="14">
        <v>1127000</v>
      </c>
    </row>
    <row r="32" spans="1:2" x14ac:dyDescent="0.3">
      <c r="A32" s="13">
        <v>46054</v>
      </c>
      <c r="B32" s="14">
        <v>910000</v>
      </c>
    </row>
    <row r="33" spans="1:2" x14ac:dyDescent="0.3">
      <c r="A33" s="13">
        <v>46055</v>
      </c>
      <c r="B33" s="14">
        <v>1725000</v>
      </c>
    </row>
    <row r="34" spans="1:2" x14ac:dyDescent="0.3">
      <c r="A34" s="13">
        <v>46056</v>
      </c>
      <c r="B34" s="14">
        <v>1760000</v>
      </c>
    </row>
    <row r="35" spans="1:2" x14ac:dyDescent="0.3">
      <c r="A35" s="13">
        <v>46057</v>
      </c>
      <c r="B35" s="14">
        <v>1456000</v>
      </c>
    </row>
    <row r="36" spans="1:2" x14ac:dyDescent="0.3">
      <c r="A36" s="13">
        <v>46058</v>
      </c>
      <c r="B36" s="14">
        <v>1015000</v>
      </c>
    </row>
    <row r="37" spans="1:2" x14ac:dyDescent="0.3">
      <c r="A37" s="13">
        <v>46059</v>
      </c>
      <c r="B37" s="14">
        <v>1470000</v>
      </c>
    </row>
    <row r="38" spans="1:2" x14ac:dyDescent="0.3">
      <c r="A38" s="13">
        <v>46060</v>
      </c>
      <c r="B38" s="14">
        <v>1540000</v>
      </c>
    </row>
    <row r="39" spans="1:2" x14ac:dyDescent="0.3">
      <c r="A39" s="13">
        <v>46061</v>
      </c>
      <c r="B39" s="14">
        <v>1204000</v>
      </c>
    </row>
    <row r="40" spans="1:2" x14ac:dyDescent="0.3">
      <c r="A40" s="13">
        <v>46062</v>
      </c>
      <c r="B40" s="14">
        <v>840000</v>
      </c>
    </row>
    <row r="41" spans="1:2" x14ac:dyDescent="0.3">
      <c r="A41" s="13">
        <v>46063</v>
      </c>
      <c r="B41" s="14">
        <v>1950000</v>
      </c>
    </row>
    <row r="42" spans="1:2" x14ac:dyDescent="0.3">
      <c r="A42" s="13">
        <v>46064</v>
      </c>
      <c r="B42" s="14">
        <v>1840000</v>
      </c>
    </row>
    <row r="43" spans="1:2" x14ac:dyDescent="0.3">
      <c r="A43" s="13">
        <v>46065</v>
      </c>
      <c r="B43" s="14">
        <v>1624000</v>
      </c>
    </row>
    <row r="44" spans="1:2" x14ac:dyDescent="0.3">
      <c r="A44" s="13">
        <v>46066</v>
      </c>
      <c r="B44" s="14">
        <v>1155000</v>
      </c>
    </row>
    <row r="45" spans="1:2" x14ac:dyDescent="0.3">
      <c r="A45" s="13">
        <v>46067</v>
      </c>
      <c r="B45" s="14">
        <v>1620000</v>
      </c>
    </row>
    <row r="46" spans="1:2" x14ac:dyDescent="0.3">
      <c r="A46" s="13">
        <v>46068</v>
      </c>
      <c r="B46" s="14">
        <v>1700000</v>
      </c>
    </row>
    <row r="47" spans="1:2" x14ac:dyDescent="0.3">
      <c r="A47" s="13">
        <v>46069</v>
      </c>
      <c r="B47" s="14">
        <v>1316000</v>
      </c>
    </row>
    <row r="48" spans="1:2" x14ac:dyDescent="0.3">
      <c r="A48" s="13">
        <v>46070</v>
      </c>
      <c r="B48" s="14">
        <v>1155000</v>
      </c>
    </row>
    <row r="49" spans="1:5" x14ac:dyDescent="0.3">
      <c r="A49" s="13">
        <v>46071</v>
      </c>
      <c r="B49" s="14">
        <v>1680000</v>
      </c>
    </row>
    <row r="50" spans="1:5" x14ac:dyDescent="0.3">
      <c r="A50" s="13">
        <v>46072</v>
      </c>
      <c r="B50" s="14">
        <v>1580000</v>
      </c>
    </row>
    <row r="51" spans="1:5" x14ac:dyDescent="0.3">
      <c r="A51" s="13">
        <v>46073</v>
      </c>
      <c r="B51" s="14">
        <v>1736000</v>
      </c>
      <c r="C51" s="14">
        <v>1736000</v>
      </c>
      <c r="D51" s="14">
        <v>1736000</v>
      </c>
      <c r="E51" s="14">
        <v>1736000</v>
      </c>
    </row>
    <row r="52" spans="1:5" x14ac:dyDescent="0.3">
      <c r="A52" s="13">
        <v>46074</v>
      </c>
      <c r="C52" s="14">
        <f>_xlfn.FORECAST.ETS(A52,$B$2:$B$51,$A$2:$A$51,1,1)</f>
        <v>1179074.5660314187</v>
      </c>
      <c r="D52" s="14">
        <f>C52-_xlfn.FORECAST.ETS.CONFINT(A52,$B$2:$B$51,$A$2:$A$51,0.95,1,1)</f>
        <v>703414.47760764882</v>
      </c>
      <c r="E52" s="14">
        <f>C52+_xlfn.FORECAST.ETS.CONFINT(A52,$B$2:$B$51,$A$2:$A$51,0.95,1,1)</f>
        <v>1654734.6544551887</v>
      </c>
    </row>
    <row r="53" spans="1:5" x14ac:dyDescent="0.3">
      <c r="A53" s="13">
        <v>46075</v>
      </c>
      <c r="C53" s="14">
        <f>_xlfn.FORECAST.ETS(A53,$B$2:$B$51,$A$2:$A$51,1,1)</f>
        <v>1751941.9355108491</v>
      </c>
      <c r="D53" s="14">
        <f>C53-_xlfn.FORECAST.ETS.CONFINT(A53,$B$2:$B$51,$A$2:$A$51,0.95,1,1)</f>
        <v>1276279.7066214974</v>
      </c>
      <c r="E53" s="14">
        <f>C53+_xlfn.FORECAST.ETS.CONFINT(A53,$B$2:$B$51,$A$2:$A$51,0.95,1,1)</f>
        <v>2227604.1644002008</v>
      </c>
    </row>
    <row r="54" spans="1:5" x14ac:dyDescent="0.3">
      <c r="A54" s="13">
        <v>46076</v>
      </c>
      <c r="C54" s="14">
        <f>_xlfn.FORECAST.ETS(A54,$B$2:$B$51,$A$2:$A$51,1,1)</f>
        <v>1704981.5554130399</v>
      </c>
      <c r="D54" s="14">
        <f>C54-_xlfn.FORECAST.ETS.CONFINT(A54,$B$2:$B$51,$A$2:$A$51,0.95,1,1)</f>
        <v>1229315.5212753252</v>
      </c>
      <c r="E54" s="14">
        <f>C54+_xlfn.FORECAST.ETS.CONFINT(A54,$B$2:$B$51,$A$2:$A$51,0.95,1,1)</f>
        <v>2180647.5895507545</v>
      </c>
    </row>
    <row r="55" spans="1:5" x14ac:dyDescent="0.3">
      <c r="A55" s="13">
        <v>46077</v>
      </c>
      <c r="C55" s="14">
        <f>_xlfn.FORECAST.ETS(A55,$B$2:$B$51,$A$2:$A$51,1,1)</f>
        <v>1622670.5359279092</v>
      </c>
      <c r="D55" s="14">
        <f>C55-_xlfn.FORECAST.ETS.CONFINT(A55,$B$2:$B$51,$A$2:$A$51,0.95,1,1)</f>
        <v>1146998.5561505686</v>
      </c>
      <c r="E55" s="14">
        <f>C55+_xlfn.FORECAST.ETS.CONFINT(A55,$B$2:$B$51,$A$2:$A$51,0.95,1,1)</f>
        <v>2098342.5157052497</v>
      </c>
    </row>
    <row r="56" spans="1:5" x14ac:dyDescent="0.3">
      <c r="A56" s="13">
        <v>46078</v>
      </c>
      <c r="C56" s="14">
        <f>_xlfn.FORECAST.ETS(A56,$B$2:$B$51,$A$2:$A$51,1,1)</f>
        <v>1212808.8293606914</v>
      </c>
      <c r="D56" s="14">
        <f>C56-_xlfn.FORECAST.ETS.CONFINT(A56,$B$2:$B$51,$A$2:$A$51,0.95,1,1)</f>
        <v>679711.63139005157</v>
      </c>
      <c r="E56" s="14">
        <f>C56+_xlfn.FORECAST.ETS.CONFINT(A56,$B$2:$B$51,$A$2:$A$51,0.95,1,1)</f>
        <v>1745906.0273313313</v>
      </c>
    </row>
    <row r="57" spans="1:5" x14ac:dyDescent="0.3">
      <c r="A57" s="13">
        <v>46079</v>
      </c>
      <c r="C57" s="14">
        <f>_xlfn.FORECAST.ETS(A57,$B$2:$B$51,$A$2:$A$51,1,1)</f>
        <v>1785676.1988401217</v>
      </c>
      <c r="D57" s="14">
        <f>C57-_xlfn.FORECAST.ETS.CONFINT(A57,$B$2:$B$51,$A$2:$A$51,0.95,1,1)</f>
        <v>1252568.6028919737</v>
      </c>
      <c r="E57" s="14">
        <f>C57+_xlfn.FORECAST.ETS.CONFINT(A57,$B$2:$B$51,$A$2:$A$51,0.95,1,1)</f>
        <v>2318783.7947882698</v>
      </c>
    </row>
    <row r="58" spans="1:5" x14ac:dyDescent="0.3">
      <c r="A58" s="13">
        <v>46080</v>
      </c>
      <c r="C58" s="14">
        <f>_xlfn.FORECAST.ETS(A58,$B$2:$B$51,$A$2:$A$51,1,1)</f>
        <v>1738715.8187423125</v>
      </c>
      <c r="D58" s="14">
        <f>C58-_xlfn.FORECAST.ETS.CONFINT(A58,$B$2:$B$51,$A$2:$A$51,0.95,1,1)</f>
        <v>1205594.6420677446</v>
      </c>
      <c r="E58" s="14">
        <f>C58+_xlfn.FORECAST.ETS.CONFINT(A58,$B$2:$B$51,$A$2:$A$51,0.95,1,1)</f>
        <v>2271836.9954168806</v>
      </c>
    </row>
    <row r="59" spans="1:5" x14ac:dyDescent="0.3">
      <c r="A59" s="13">
        <v>46081</v>
      </c>
      <c r="C59" s="14">
        <f>_xlfn.FORECAST.ETS(A59,$B$2:$B$51,$A$2:$A$51,1,1)</f>
        <v>1656404.7992571818</v>
      </c>
      <c r="D59" s="14">
        <f>C59-_xlfn.FORECAST.ETS.CONFINT(A59,$B$2:$B$51,$A$2:$A$51,0.95,1,1)</f>
        <v>1123266.4349717246</v>
      </c>
      <c r="E59" s="14">
        <f>C59+_xlfn.FORECAST.ETS.CONFINT(A59,$B$2:$B$51,$A$2:$A$51,0.95,1,1)</f>
        <v>2189543.163542639</v>
      </c>
    </row>
    <row r="60" spans="1:5" x14ac:dyDescent="0.3">
      <c r="A60" s="13">
        <v>46082</v>
      </c>
      <c r="C60" s="14">
        <f>_xlfn.FORECAST.ETS(A60,$B$2:$B$51,$A$2:$A$51,1,1)</f>
        <v>1246543.092689964</v>
      </c>
      <c r="D60" s="14">
        <f>C60-_xlfn.FORECAST.ETS.CONFINT(A60,$B$2:$B$51,$A$2:$A$51,0.95,1,1)</f>
        <v>660808.68542676989</v>
      </c>
      <c r="E60" s="14">
        <f>C60+_xlfn.FORECAST.ETS.CONFINT(A60,$B$2:$B$51,$A$2:$A$51,0.95,1,1)</f>
        <v>1832277.4999531582</v>
      </c>
    </row>
    <row r="61" spans="1:5" x14ac:dyDescent="0.3">
      <c r="A61" s="13">
        <v>46083</v>
      </c>
      <c r="C61" s="14">
        <f>_xlfn.FORECAST.ETS(A61,$B$2:$B$51,$A$2:$A$51,1,1)</f>
        <v>1819410.4621693944</v>
      </c>
      <c r="D61" s="14">
        <f>C61-_xlfn.FORECAST.ETS.CONFINT(A61,$B$2:$B$51,$A$2:$A$51,0.95,1,1)</f>
        <v>1233652.6859454238</v>
      </c>
      <c r="E61" s="14">
        <f>C61+_xlfn.FORECAST.ETS.CONFINT(A61,$B$2:$B$51,$A$2:$A$51,0.95,1,1)</f>
        <v>2405168.2383933649</v>
      </c>
    </row>
    <row r="62" spans="1:5" x14ac:dyDescent="0.3">
      <c r="A62" s="13">
        <v>46084</v>
      </c>
      <c r="C62" s="14">
        <f>_xlfn.FORECAST.ETS(A62,$B$2:$B$51,$A$2:$A$51,1,1)</f>
        <v>1772450.0820715851</v>
      </c>
      <c r="D62" s="14">
        <f>C62-_xlfn.FORECAST.ETS.CONFINT(A62,$B$2:$B$51,$A$2:$A$51,0.95,1,1)</f>
        <v>1186664.4960678914</v>
      </c>
      <c r="E62" s="14">
        <f>C62+_xlfn.FORECAST.ETS.CONFINT(A62,$B$2:$B$51,$A$2:$A$51,0.95,1,1)</f>
        <v>2358235.6680752789</v>
      </c>
    </row>
    <row r="63" spans="1:5" x14ac:dyDescent="0.3">
      <c r="A63" s="13">
        <v>46085</v>
      </c>
      <c r="C63" s="14">
        <f>_xlfn.FORECAST.ETS(A63,$B$2:$B$51,$A$2:$A$51,1,1)</f>
        <v>1690139.0625864544</v>
      </c>
      <c r="D63" s="14">
        <f>C63-_xlfn.FORECAST.ETS.CONFINT(A63,$B$2:$B$51,$A$2:$A$51,0.95,1,1)</f>
        <v>1104320.8404001491</v>
      </c>
      <c r="E63" s="14">
        <f>C63+_xlfn.FORECAST.ETS.CONFINT(A63,$B$2:$B$51,$A$2:$A$51,0.95,1,1)</f>
        <v>2275957.2847727598</v>
      </c>
    </row>
    <row r="64" spans="1:5" x14ac:dyDescent="0.3">
      <c r="A64" s="13">
        <v>46086</v>
      </c>
      <c r="C64" s="14">
        <f>_xlfn.FORECAST.ETS(A64,$B$2:$B$51,$A$2:$A$51,1,1)</f>
        <v>1280277.3560192366</v>
      </c>
      <c r="D64" s="14">
        <f>C64-_xlfn.FORECAST.ETS.CONFINT(A64,$B$2:$B$51,$A$2:$A$51,0.95,1,1)</f>
        <v>645487.62693937356</v>
      </c>
      <c r="E64" s="14">
        <f>C64+_xlfn.FORECAST.ETS.CONFINT(A64,$B$2:$B$51,$A$2:$A$51,0.95,1,1)</f>
        <v>1915067.0850990997</v>
      </c>
    </row>
    <row r="65" spans="1:5" x14ac:dyDescent="0.3">
      <c r="A65" s="13">
        <v>46087</v>
      </c>
      <c r="C65" s="14">
        <f>_xlfn.FORECAST.ETS(A65,$B$2:$B$51,$A$2:$A$51,1,1)</f>
        <v>1853144.725498667</v>
      </c>
      <c r="D65" s="14">
        <f>C65-_xlfn.FORECAST.ETS.CONFINT(A65,$B$2:$B$51,$A$2:$A$51,0.95,1,1)</f>
        <v>1218314.9002996434</v>
      </c>
      <c r="E65" s="14">
        <f>C65+_xlfn.FORECAST.ETS.CONFINT(A65,$B$2:$B$51,$A$2:$A$51,0.95,1,1)</f>
        <v>2487974.5506976908</v>
      </c>
    </row>
    <row r="66" spans="1:5" x14ac:dyDescent="0.3">
      <c r="A66" s="13">
        <v>46088</v>
      </c>
      <c r="C66" s="14">
        <f>_xlfn.FORECAST.ETS(A66,$B$2:$B$51,$A$2:$A$51,1,1)</f>
        <v>1806184.3454008577</v>
      </c>
      <c r="D66" s="14">
        <f>C66-_xlfn.FORECAST.ETS.CONFINT(A66,$B$2:$B$51,$A$2:$A$51,0.95,1,1)</f>
        <v>1171308.9028081624</v>
      </c>
      <c r="E66" s="14">
        <f>C66+_xlfn.FORECAST.ETS.CONFINT(A66,$B$2:$B$51,$A$2:$A$51,0.95,1,1)</f>
        <v>2441059.7879935531</v>
      </c>
    </row>
    <row r="67" spans="1:5" x14ac:dyDescent="0.3">
      <c r="A67" s="13">
        <v>46089</v>
      </c>
      <c r="C67" s="14">
        <f>_xlfn.FORECAST.ETS(A67,$B$2:$B$51,$A$2:$A$51,1,1)</f>
        <v>1723873.3259157271</v>
      </c>
      <c r="D67" s="14">
        <f>C67-_xlfn.FORECAST.ETS.CONFINT(A67,$B$2:$B$51,$A$2:$A$51,0.95,1,1)</f>
        <v>1088946.3895006229</v>
      </c>
      <c r="E67" s="14">
        <f>C67+_xlfn.FORECAST.ETS.CONFINT(A67,$B$2:$B$51,$A$2:$A$51,0.95,1,1)</f>
        <v>2358800.262330831</v>
      </c>
    </row>
    <row r="68" spans="1:5" x14ac:dyDescent="0.3">
      <c r="A68" s="13">
        <v>46090</v>
      </c>
      <c r="C68" s="14">
        <f>_xlfn.FORECAST.ETS(A68,$B$2:$B$51,$A$2:$A$51,1,1)</f>
        <v>1314011.6193485092</v>
      </c>
      <c r="D68" s="14">
        <f>C68-_xlfn.FORECAST.ETS.CONFINT(A68,$B$2:$B$51,$A$2:$A$51,0.95,1,1)</f>
        <v>632952.7410665846</v>
      </c>
      <c r="E68" s="14">
        <f>C68+_xlfn.FORECAST.ETS.CONFINT(A68,$B$2:$B$51,$A$2:$A$51,0.95,1,1)</f>
        <v>1995070.4976304339</v>
      </c>
    </row>
    <row r="69" spans="1:5" x14ac:dyDescent="0.3">
      <c r="A69" s="13">
        <v>46091</v>
      </c>
      <c r="C69" s="14">
        <f>_xlfn.FORECAST.ETS(A69,$B$2:$B$51,$A$2:$A$51,1,1)</f>
        <v>1886878.9888279396</v>
      </c>
      <c r="D69" s="14">
        <f>C69-_xlfn.FORECAST.ETS.CONFINT(A69,$B$2:$B$51,$A$2:$A$51,0.95,1,1)</f>
        <v>1205760.1498238696</v>
      </c>
      <c r="E69" s="14">
        <f>C69+_xlfn.FORECAST.ETS.CONFINT(A69,$B$2:$B$51,$A$2:$A$51,0.95,1,1)</f>
        <v>2567997.8278320096</v>
      </c>
    </row>
    <row r="70" spans="1:5" x14ac:dyDescent="0.3">
      <c r="A70" s="13">
        <v>46092</v>
      </c>
      <c r="C70" s="14">
        <f>_xlfn.FORECAST.ETS(A70,$B$2:$B$51,$A$2:$A$51,1,1)</f>
        <v>1839918.6087301304</v>
      </c>
      <c r="D70" s="14">
        <f>C70-_xlfn.FORECAST.ETS.CONFINT(A70,$B$2:$B$51,$A$2:$A$51,0.95,1,1)</f>
        <v>1158733.3374168556</v>
      </c>
      <c r="E70" s="14">
        <f>C70+_xlfn.FORECAST.ETS.CONFINT(A70,$B$2:$B$51,$A$2:$A$51,0.95,1,1)</f>
        <v>2521103.8800434051</v>
      </c>
    </row>
    <row r="71" spans="1:5" x14ac:dyDescent="0.3">
      <c r="A71" s="13">
        <v>46093</v>
      </c>
      <c r="C71" s="14">
        <f>_xlfn.FORECAST.ETS(A71,$B$2:$B$51,$A$2:$A$51,1,1)</f>
        <v>1757607.5892449997</v>
      </c>
      <c r="D71" s="14">
        <f>C71-_xlfn.FORECAST.ETS.CONFINT(A71,$B$2:$B$51,$A$2:$A$51,0.95,1,1)</f>
        <v>1076349.0838189493</v>
      </c>
      <c r="E71" s="14">
        <f>C71+_xlfn.FORECAST.ETS.CONFINT(A71,$B$2:$B$51,$A$2:$A$51,0.95,1,1)</f>
        <v>2438866.0946710501</v>
      </c>
    </row>
    <row r="72" spans="1:5" x14ac:dyDescent="0.3">
      <c r="A72" s="13">
        <v>46094</v>
      </c>
      <c r="C72" s="14">
        <f>_xlfn.FORECAST.ETS(A72,$B$2:$B$51,$A$2:$A$51,1,1)</f>
        <v>1347745.8826777819</v>
      </c>
      <c r="D72" s="14">
        <f>C72-_xlfn.FORECAST.ETS.CONFINT(A72,$B$2:$B$51,$A$2:$A$51,0.95,1,1)</f>
        <v>622650.48012820538</v>
      </c>
      <c r="E72" s="14">
        <f>C72+_xlfn.FORECAST.ETS.CONFINT(A72,$B$2:$B$51,$A$2:$A$51,0.95,1,1)</f>
        <v>2072841.2852273583</v>
      </c>
    </row>
    <row r="73" spans="1:5" x14ac:dyDescent="0.3">
      <c r="A73" s="13">
        <v>46095</v>
      </c>
      <c r="C73" s="14">
        <f>_xlfn.FORECAST.ETS(A73,$B$2:$B$51,$A$2:$A$51,1,1)</f>
        <v>1920613.2521572122</v>
      </c>
      <c r="D73" s="14">
        <f>C73-_xlfn.FORECAST.ETS.CONFINT(A73,$B$2:$B$51,$A$2:$A$51,0.95,1,1)</f>
        <v>1195435.3220038852</v>
      </c>
      <c r="E73" s="14">
        <f>C73+_xlfn.FORECAST.ETS.CONFINT(A73,$B$2:$B$51,$A$2:$A$51,0.95,1,1)</f>
        <v>2645791.1823105393</v>
      </c>
    </row>
    <row r="74" spans="1:5" x14ac:dyDescent="0.3">
      <c r="A74" s="13">
        <v>46096</v>
      </c>
      <c r="C74" s="14">
        <f>_xlfn.FORECAST.ETS(A74,$B$2:$B$51,$A$2:$A$51,1,1)</f>
        <v>1873652.872059403</v>
      </c>
      <c r="D74" s="14">
        <f>C74-_xlfn.FORECAST.ETS.CONFINT(A74,$B$2:$B$51,$A$2:$A$51,0.95,1,1)</f>
        <v>1148385.0926614609</v>
      </c>
      <c r="E74" s="14">
        <f>C74+_xlfn.FORECAST.ETS.CONFINT(A74,$B$2:$B$51,$A$2:$A$51,0.95,1,1)</f>
        <v>2598920.6514573451</v>
      </c>
    </row>
    <row r="75" spans="1:5" x14ac:dyDescent="0.3">
      <c r="A75" s="13">
        <v>46097</v>
      </c>
      <c r="C75" s="14">
        <f>_xlfn.FORECAST.ETS(A75,$B$2:$B$51,$A$2:$A$51,1,1)</f>
        <v>1791341.8525742723</v>
      </c>
      <c r="D75" s="14">
        <f>C75-_xlfn.FORECAST.ETS.CONFINT(A75,$B$2:$B$51,$A$2:$A$51,0.95,1,1)</f>
        <v>1065976.5930962306</v>
      </c>
      <c r="E75" s="14">
        <f>C75+_xlfn.FORECAST.ETS.CONFINT(A75,$B$2:$B$51,$A$2:$A$51,0.95,1,1)</f>
        <v>2516707.112052314</v>
      </c>
    </row>
    <row r="76" spans="1:5" x14ac:dyDescent="0.3">
      <c r="A76" s="13">
        <v>46098</v>
      </c>
      <c r="C76" s="14">
        <f>_xlfn.FORECAST.ETS(A76,$B$2:$B$51,$A$2:$A$51,1,1)</f>
        <v>1381480.1460070545</v>
      </c>
      <c r="D76" s="14">
        <f>C76-_xlfn.FORECAST.ETS.CONFINT(A76,$B$2:$B$51,$A$2:$A$51,0.95,1,1)</f>
        <v>614177.46661416581</v>
      </c>
      <c r="E76" s="14">
        <f>C76+_xlfn.FORECAST.ETS.CONFINT(A76,$B$2:$B$51,$A$2:$A$51,0.95,1,1)</f>
        <v>2148782.8253999432</v>
      </c>
    </row>
    <row r="77" spans="1:5" x14ac:dyDescent="0.3">
      <c r="A77" s="13">
        <v>46099</v>
      </c>
      <c r="C77" s="14">
        <f>_xlfn.FORECAST.ETS(A77,$B$2:$B$51,$A$2:$A$51,1,1)</f>
        <v>1954347.5154864849</v>
      </c>
      <c r="D77" s="14">
        <f>C77-_xlfn.FORECAST.ETS.CONFINT(A77,$B$2:$B$51,$A$2:$A$51,0.95,1,1)</f>
        <v>1186937.3644652846</v>
      </c>
      <c r="E77" s="14">
        <f>C77+_xlfn.FORECAST.ETS.CONFINT(A77,$B$2:$B$51,$A$2:$A$51,0.95,1,1)</f>
        <v>2721757.6665076851</v>
      </c>
    </row>
    <row r="78" spans="1:5" x14ac:dyDescent="0.3">
      <c r="A78" s="13">
        <v>46100</v>
      </c>
      <c r="C78" s="14">
        <f>_xlfn.FORECAST.ETS(A78,$B$2:$B$51,$A$2:$A$51,1,1)</f>
        <v>1907387.1353886756</v>
      </c>
      <c r="D78" s="14">
        <f>C78-_xlfn.FORECAST.ETS.CONFINT(A78,$B$2:$B$51,$A$2:$A$51,0.95,1,1)</f>
        <v>1139861.4212488551</v>
      </c>
      <c r="E78" s="14">
        <f>C78+_xlfn.FORECAST.ETS.CONFINT(A78,$B$2:$B$51,$A$2:$A$51,0.95,1,1)</f>
        <v>2674912.8495284962</v>
      </c>
    </row>
    <row r="79" spans="1:5" x14ac:dyDescent="0.3">
      <c r="A79" s="13">
        <v>46101</v>
      </c>
      <c r="C79" s="14">
        <f>_xlfn.FORECAST.ETS(A79,$B$2:$B$51,$A$2:$A$51,1,1)</f>
        <v>1825076.1159035449</v>
      </c>
      <c r="D79" s="14">
        <f>C79-_xlfn.FORECAST.ETS.CONFINT(A79,$B$2:$B$51,$A$2:$A$51,0.95,1,1)</f>
        <v>1057426.456074971</v>
      </c>
      <c r="E79" s="14">
        <f>C79+_xlfn.FORECAST.ETS.CONFINT(A79,$B$2:$B$51,$A$2:$A$51,0.95,1,1)</f>
        <v>2592725.7757321186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 Dinámica.- Gráficos</vt:lpstr>
      <vt:lpstr>Previsión de Total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DIAZ</dc:creator>
  <cp:lastModifiedBy>MIGUEL DIAZ</cp:lastModifiedBy>
  <dcterms:created xsi:type="dcterms:W3CDTF">2026-02-11T21:40:06Z</dcterms:created>
  <dcterms:modified xsi:type="dcterms:W3CDTF">2026-02-12T06:01:51Z</dcterms:modified>
</cp:coreProperties>
</file>